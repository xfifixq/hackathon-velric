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Executive Summary" sheetId="1" state="visible" r:id="rId3"/>
    <sheet name="02 Functional Team Map" sheetId="2" state="visible" r:id="rId4"/>
    <sheet name="03 Skills &amp; Capabilities Map" sheetId="3" state="visible" r:id="rId5"/>
    <sheet name="04 Interdependencies" sheetId="4" state="visible" r:id="rId6"/>
    <sheet name="05 Roadmap &amp; Time Horizon" sheetId="5" state="visible" r:id="rId7"/>
    <sheet name="06 Risk &amp; Reward Register" sheetId="6" state="visible" r:id="rId8"/>
    <sheet name="07 Data Requirements" sheetId="7" state="visible" r:id="rId9"/>
    <sheet name="08 Sources &amp; Methodology" sheetId="8" state="visible" r:id="rId10"/>
    <sheet name="09 Phase 1 Delivery Plan" sheetId="9" state="visible" r:id="rId11"/>
    <sheet name="10 SF Commercial Propos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<sst xmlns="http://schemas.openxmlformats.org/spreadsheetml/2006/main" count="1305" uniqueCount="1107">
  <si>
    <t xml:space="preserve">ARSENAL FC  |  GREEN SKILLS INTELLIGENCE PLATFORM (GSIP)  |  PILOT CLIENT BLUEPRINT</t>
  </si>
  <si>
    <t xml:space="preserve">Sustained Futures  |  Net Zero Workforce Transition Blueprint  |  Baseline Year: 2021/22  |  Target: Net Zero by 2040</t>
  </si>
  <si>
    <t xml:space="preserve">ARSENAL FC SBTi-APPROVED TARGETS (Source: Arsenal.com, Nov 2024 | SBTi Validation)</t>
  </si>
  <si>
    <t xml:space="preserve">Milestone</t>
  </si>
  <si>
    <t xml:space="preserve">Scope 1 &amp; 2 Target</t>
  </si>
  <si>
    <t xml:space="preserve">Scope 3 Intensity Target</t>
  </si>
  <si>
    <t xml:space="preserve">Mechanism</t>
  </si>
  <si>
    <t xml:space="preserve">Baseline</t>
  </si>
  <si>
    <t xml:space="preserve">Key Accountability</t>
  </si>
  <si>
    <t xml:space="preserve">Status</t>
  </si>
  <si>
    <t xml:space="preserve">2025 (NOW)</t>
  </si>
  <si>
    <t xml:space="preserve">Track against 2021 baseline</t>
  </si>
  <si>
    <t xml:space="preserve">Establish intensity measurement</t>
  </si>
  <si>
    <t xml:space="preserve">Annual GHG reporting + EMS Group review</t>
  </si>
  <si>
    <t xml:space="preserve">FY2021/22</t>
  </si>
  <si>
    <t xml:space="preserve">Director of ESG: Hannah Mansour</t>
  </si>
  <si>
    <t xml:space="preserve">IN PROGRESS</t>
  </si>
  <si>
    <t xml:space="preserve">2030</t>
  </si>
  <si>
    <t xml:space="preserve">−42% vs 2021 levels</t>
  </si>
  <si>
    <t xml:space="preserve">−52% per £1m revenue vs 2021</t>
  </si>
  <si>
    <t xml:space="preserve">Decarbonise energy; supplier engagement; travel reduction</t>
  </si>
  <si>
    <t xml:space="preserve">CxO + Dept Heads</t>
  </si>
  <si>
    <t xml:space="preserve">COMMITTED</t>
  </si>
  <si>
    <t xml:space="preserve">2040 (NET ZERO)</t>
  </si>
  <si>
    <t xml:space="preserve">−90% vs 2021 levels</t>
  </si>
  <si>
    <t xml:space="preserve">−97% per £1m revenue vs 2021</t>
  </si>
  <si>
    <t xml:space="preserve">Full value-chain decarb; residual offsets</t>
  </si>
  <si>
    <t xml:space="preserve">Board + Executive Team</t>
  </si>
  <si>
    <t xml:space="preserve">ARSENAL FC REPORTED EMISSIONS DATA (Source: Arsenal Holdings Annual Report; DitchCarbon; Arsenal.com)</t>
  </si>
  <si>
    <t xml:space="preserve">Scope</t>
  </si>
  <si>
    <t xml:space="preserve">FY2021/22 (Baseline) tCO2e</t>
  </si>
  <si>
    <t xml:space="preserve">FY2022/23 tCO2e</t>
  </si>
  <si>
    <t xml:space="preserve">YoY Change</t>
  </si>
  <si>
    <t xml:space="preserve">% of Total (2023)</t>
  </si>
  <si>
    <t xml:space="preserve">Data Quality</t>
  </si>
  <si>
    <t xml:space="preserve">Note</t>
  </si>
  <si>
    <t xml:space="preserve">Scope 1 (Direct)</t>
  </si>
  <si>
    <t xml:space="preserve">3,943,000</t>
  </si>
  <si>
    <t xml:space="preserve">3,538,000</t>
  </si>
  <si>
    <t xml:space="preserve">See note</t>
  </si>
  <si>
    <t xml:space="preserve">Measured</t>
  </si>
  <si>
    <t xml:space="preserve">Mobile combustion, fugitive emissions, stationary combustion</t>
  </si>
  <si>
    <t xml:space="preserve">Scope 2 (Purchased Energy)</t>
  </si>
  <si>
    <t xml:space="preserve">2,449,000</t>
  </si>
  <si>
    <t xml:space="preserve">2,136,230</t>
  </si>
  <si>
    <t xml:space="preserve">100% renewable electricity (Octopus Energy). Battery storage at Emirates.</t>
  </si>
  <si>
    <t xml:space="preserve">Scope 3 (Value Chain)</t>
  </si>
  <si>
    <t xml:space="preserve">~15,430,000</t>
  </si>
  <si>
    <t xml:space="preserve">~15,148,000</t>
  </si>
  <si>
    <t xml:space="preserve">Estimated (~65%)</t>
  </si>
  <si>
    <t xml:space="preserve">Fan travel, employee commute, supply chain, e-commerce freight. 76.1% of total emissions.</t>
  </si>
  <si>
    <t xml:space="preserve">TOTAL</t>
  </si>
  <si>
    <t xml:space="preserve">~(282,000)</t>
  </si>
  <si>
    <t xml:space="preserve">Mixed</t>
  </si>
  <si>
    <t xml:space="preserve">Scope 3 dominates; data completeness is primary risk</t>
  </si>
  <si>
    <t xml:space="preserve">~21,822,000</t>
  </si>
  <si>
    <t xml:space="preserve">~20,822,220</t>
  </si>
  <si>
    <t xml:space="preserve">~(999,780)</t>
  </si>
  <si>
    <t xml:space="preserve">5 STRATEGIC DELIVERY PILLARS (Derived from SBTi Action Plan + Environmental Policy)</t>
  </si>
  <si>
    <t xml:space="preserve">Pillar</t>
  </si>
  <si>
    <t xml:space="preserve">Description</t>
  </si>
  <si>
    <t xml:space="preserve">Primary Scope</t>
  </si>
  <si>
    <t xml:space="preserve">Lead Teams</t>
  </si>
  <si>
    <t xml:space="preserve">2030 Lever</t>
  </si>
  <si>
    <t xml:space="preserve">Est. tCO2e Impact by 2030</t>
  </si>
  <si>
    <t xml:space="preserve">Priority</t>
  </si>
  <si>
    <t xml:space="preserve">1. Energy Decarbonisation</t>
  </si>
  <si>
    <t xml:space="preserve">Optimise &amp; decarbonise energy at Emirates, Sobha Realty TC, Hale End Academy, offices. Battery storage, LED, building management.</t>
  </si>
  <si>
    <t xml:space="preserve">S1 &amp; S2</t>
  </si>
  <si>
    <t xml:space="preserve">Operations + Facilities</t>
  </si>
  <si>
    <t xml:space="preserve">LED retrofit, HVAC upgrades, battery optimisation, EV fleet</t>
  </si>
  <si>
    <t xml:space="preserve">~2,100 tCO2e (est. 35% of S1&amp;S2 gap)</t>
  </si>
  <si>
    <t xml:space="preserve">CRITICAL</t>
  </si>
  <si>
    <t xml:space="preserve">2. Supply Chain &amp; Merchandise</t>
  </si>
  <si>
    <t xml:space="preserve">Engage suppliers (kit, F&amp;B, services) to set SBTi-aligned targets. Embed climate clauses in contracts. Build PCFs for top 20 suppliers.</t>
  </si>
  <si>
    <t xml:space="preserve">S3</t>
  </si>
  <si>
    <t xml:space="preserve">Procurement + Legal + Marketing/Retail</t>
  </si>
  <si>
    <t xml:space="preserve">Supplier carbon clauses, Product Carbon Footprinting (PCF), low-carbon kit materials</t>
  </si>
  <si>
    <t xml:space="preserve">~5,200 tCO2e (est. largest S3 lever)</t>
  </si>
  <si>
    <t xml:space="preserve">3. Travel &amp; Transport</t>
  </si>
  <si>
    <t xml:space="preserve">Reduce club travel emissions, employee commuting, product delivery (Arsenal Direct). Fan travel sits outside SBTi scope but is reputationally important.</t>
  </si>
  <si>
    <t xml:space="preserve">S1, S2, S3</t>
  </si>
  <si>
    <t xml:space="preserve">Operations + HR + Logistics</t>
  </si>
  <si>
    <t xml:space="preserve">EV fleet, rail-first policy for UK travel, sustainable delivery contracts</t>
  </si>
  <si>
    <t xml:space="preserve">~1,800 tCO2e</t>
  </si>
  <si>
    <t xml:space="preserve">HIGH</t>
  </si>
  <si>
    <t xml:space="preserve">4. Waste &amp; Circular Economy</t>
  </si>
  <si>
    <t xml:space="preserve">Minimise matchday waste, improve recycling rates, reduce water use across all sites. Move to circular model for merchandise.</t>
  </si>
  <si>
    <t xml:space="preserve">S1, S3</t>
  </si>
  <si>
    <t xml:space="preserve">Operations + Marketing</t>
  </si>
  <si>
    <t xml:space="preserve">Zero-waste matchday programme, kit take-back, water reduction targets</t>
  </si>
  <si>
    <t xml:space="preserve">~400 tCO2e</t>
  </si>
  <si>
    <t xml:space="preserve">MEDIUM</t>
  </si>
  <si>
    <t xml:space="preserve">5. Community &amp; Fan Engagement</t>
  </si>
  <si>
    <t xml:space="preserve">Green Action League, Green Gooners Cup. Islington climate action plan. Supporter sustainable travel. Education &amp; awareness.</t>
  </si>
  <si>
    <t xml:space="preserve">S3 (Influence)</t>
  </si>
  <si>
    <t xml:space="preserve">Marketing + ESG + Community</t>
  </si>
  <si>
    <t xml:space="preserve">Fan travel modal shift, partner sustainability clauses, community programmes</t>
  </si>
  <si>
    <t xml:space="preserve">Reputational + influence lever</t>
  </si>
  <si>
    <t xml:space="preserve">ARSENAL FC  |  FUNCTIONAL TEAM RESPONSIBILITIES ACROSS NET ZERO PILLARS</t>
  </si>
  <si>
    <t xml:space="preserve">#</t>
  </si>
  <si>
    <t xml:space="preserve">Functional Team</t>
  </si>
  <si>
    <t xml:space="preserve">Primary Pillar(s)</t>
  </si>
  <si>
    <t xml:space="preserve">Key Reduction Lever</t>
  </si>
  <si>
    <t xml:space="preserve">Scope Ownership</t>
  </si>
  <si>
    <t xml:space="preserve">Interdependent Teams</t>
  </si>
  <si>
    <t xml:space="preserve">Critical Skills Gap</t>
  </si>
  <si>
    <t xml:space="preserve">Estimated Emission Impact</t>
  </si>
  <si>
    <t xml:space="preserve">Priority Tier</t>
  </si>
  <si>
    <t xml:space="preserve">T1</t>
  </si>
  <si>
    <t xml:space="preserve">Operations &amp; Facilities
(Stadium, Training Ctr, Academy)</t>
  </si>
  <si>
    <t xml:space="preserve">Pillar 1: Energy Decarb</t>
  </si>
  <si>
    <t xml:space="preserve">LED upgrades, HVAC, battery dispatch optimisation, renewable energy PPAs, building-level metering</t>
  </si>
  <si>
    <t xml:space="preserve">S1 + S2</t>
  </si>
  <si>
    <t xml:space="preserve">IT (BMS data), Procurement (equipment), Finance (capex)</t>
  </si>
  <si>
    <t xml:space="preserve">Energy management systems, BMS data analysis, ISO 50001, lifecycle costing</t>
  </si>
  <si>
    <t xml:space="preserve">~2,100 tCO2e reduction by 2030</t>
  </si>
  <si>
    <t xml:space="preserve">T2</t>
  </si>
  <si>
    <t xml:space="preserve">Procurement</t>
  </si>
  <si>
    <t xml:space="preserve">Pillar 2: Supply Chain</t>
  </si>
  <si>
    <t xml:space="preserve">Embed SBTi-aligned climate clauses in all Tier 1 supplier contracts (kit, F&amp;B, services, logistics). Whole-life cost approach.</t>
  </si>
  <si>
    <t xml:space="preserve">S3 (upstream)</t>
  </si>
  <si>
    <t xml:space="preserve">Legal (contract clauses), Marketing (kit/merchandise), Finance (budget)</t>
  </si>
  <si>
    <t xml:space="preserve">Scope 3 supplier engagement, carbon literacy, contract climate clauses, PCF interpretation</t>
  </si>
  <si>
    <t xml:space="preserve">~3,000 tCO2e (largest S3 lever)</t>
  </si>
  <si>
    <t xml:space="preserve">T3</t>
  </si>
  <si>
    <t xml:space="preserve">Legal</t>
  </si>
  <si>
    <t xml:space="preserve">Pillar 2 + Pillar 5</t>
  </si>
  <si>
    <t xml:space="preserve">Draft &amp; enforce climate clauses in supplier and commercial partner agreements. CSRD readiness. Regulatory risk management.</t>
  </si>
  <si>
    <t xml:space="preserve">S3 (contractual)</t>
  </si>
  <si>
    <t xml:space="preserve">Procurement, Commercial/Partnerships, CxO</t>
  </si>
  <si>
    <t xml:space="preserve">Climate law, CSRD/TCFD compliance, green contract drafting, supply chain due diligence</t>
  </si>
  <si>
    <t xml:space="preserve">Enabling lever for all S3 targets</t>
  </si>
  <si>
    <t xml:space="preserve">T4</t>
  </si>
  <si>
    <t xml:space="preserve">Marketing, Retail &amp; Merchandise
(Arsenal Direct)</t>
  </si>
  <si>
    <t xml:space="preserve">Pillar 2 + Pillar 4 + Pillar 5</t>
  </si>
  <si>
    <t xml:space="preserve">Reduce PCF of replica kits and licensed products. Sustainable delivery of Arsenal Direct orders. Fan engagement (Green Action League).</t>
  </si>
  <si>
    <t xml:space="preserve">S3 (product sold)</t>
  </si>
  <si>
    <t xml:space="preserve">Procurement (supplier selection), IT (e-commerce data), Legal</t>
  </si>
  <si>
    <t xml:space="preserve">Product Carbon Footprinting (PCF), sustainable materials knowledge, eco-labelling, LCA basics</t>
  </si>
  <si>
    <t xml:space="preserve">~2,200 tCO2e (kits + licensed products + delivery)</t>
  </si>
  <si>
    <t xml:space="preserve">T5</t>
  </si>
  <si>
    <t xml:space="preserve">Finance</t>
  </si>
  <si>
    <t xml:space="preserve">Pillar 1 + Pillar 2</t>
  </si>
  <si>
    <t xml:space="preserve">Integrate carbon cost into capex decisions (whole-life cost). Green finance strategy (sustainability-linked loans). Annual GHG financial reporting.</t>
  </si>
  <si>
    <t xml:space="preserve">S1 + S2 + S3 (financial)</t>
  </si>
  <si>
    <t xml:space="preserve">All teams (budget holder), CxO (strategy)</t>
  </si>
  <si>
    <t xml:space="preserve">Carbon accounting (GHG Protocol), TCFD financial risk disclosure, internal carbon pricing</t>
  </si>
  <si>
    <t xml:space="preserve">Financial enabler for all pillars</t>
  </si>
  <si>
    <t xml:space="preserve">T6</t>
  </si>
  <si>
    <t xml:space="preserve">IT &amp; Data</t>
  </si>
  <si>
    <t xml:space="preserve">Pillar 1 + Pillar 2 + All</t>
  </si>
  <si>
    <t xml:space="preserve">Build supplier data infrastructure for PCF. BMS analytics. Carbon dashboard / reporting platform. AI for energy optimisation.</t>
  </si>
  <si>
    <t xml:space="preserve">S1 + S2 + S3 (data)</t>
  </si>
  <si>
    <t xml:space="preserve">Operations, Procurement, Finance, ESG</t>
  </si>
  <si>
    <t xml:space="preserve">Supplier data integration, carbon APIs, AI/ML for energy forecasting, data governance</t>
  </si>
  <si>
    <t xml:space="preserve">Data infrastructure: critical for all SBTi reporting</t>
  </si>
  <si>
    <t xml:space="preserve">T7</t>
  </si>
  <si>
    <t xml:space="preserve">HR &amp; People</t>
  </si>
  <si>
    <t xml:space="preserve">Pillar 3 + All</t>
  </si>
  <si>
    <t xml:space="preserve">Green skills upskilling programme across all departments. Sustainable commuting schemes. Green recruitment criteria.</t>
  </si>
  <si>
    <t xml:space="preserve">S3 (employee commute + upskilling)</t>
  </si>
  <si>
    <t xml:space="preserve">All teams, CxO</t>
  </si>
  <si>
    <t xml:space="preserve">Green HR policy, sustainable commuting management, ESG training design, skills gap analysis</t>
  </si>
  <si>
    <t xml:space="preserve">~300 tCO2e (commuting) + all upskilling</t>
  </si>
  <si>
    <t xml:space="preserve">T8</t>
  </si>
  <si>
    <t xml:space="preserve">CxO / Executive Team</t>
  </si>
  <si>
    <t xml:space="preserve">All Pillars</t>
  </si>
  <si>
    <t xml:space="preserve">Set net zero strategy, approve capex, integrate SBTi into KPIs, stakeholder reporting, SBTi governance via EMS Group.</t>
  </si>
  <si>
    <t xml:space="preserve">All scopes (governance)</t>
  </si>
  <si>
    <t xml:space="preserve">All teams</t>
  </si>
  <si>
    <t xml:space="preserve">Climate governance, SBTi strategy, TCFD/CSRD, stakeholder communication, carbon leadership</t>
  </si>
  <si>
    <t xml:space="preserve">Governance enabler: must lead from top</t>
  </si>
  <si>
    <t xml:space="preserve">T9</t>
  </si>
  <si>
    <t xml:space="preserve">Logistics &amp; Supply Chain
(Arsenal Direct + Catering)</t>
  </si>
  <si>
    <t xml:space="preserve">Pillar 2 + Pillar 3 + Pillar 4</t>
  </si>
  <si>
    <t xml:space="preserve">Sustainable delivery contracts for Arsenal Direct. Low-carbon F&amp;B procurement. Matchday waste reduction. Last-mile decarbonisation.</t>
  </si>
  <si>
    <t xml:space="preserve">S3 (downstream + upstream)</t>
  </si>
  <si>
    <t xml:space="preserve">Procurement, Marketing, Operations</t>
  </si>
  <si>
    <t xml:space="preserve">Last-mile logistics emissions, food carbon footprinting, circular waste management</t>
  </si>
  <si>
    <t xml:space="preserve">~1,000 tCO2e</t>
  </si>
  <si>
    <t xml:space="preserve">T10</t>
  </si>
  <si>
    <t xml:space="preserve">Community &amp; Foundation</t>
  </si>
  <si>
    <t xml:space="preserve">Pillar 5</t>
  </si>
  <si>
    <t xml:space="preserve">Green Action League. Islington climate plan. Supporter engagement. School programmes. Green Gooners Cup.</t>
  </si>
  <si>
    <t xml:space="preserve">S3 (influence/fan)</t>
  </si>
  <si>
    <t xml:space="preserve">Marketing, ESG, Commercial Partners</t>
  </si>
  <si>
    <t xml:space="preserve">Community climate communication, behaviour change design, ESG storytelling</t>
  </si>
  <si>
    <t xml:space="preserve">Influence lever: 56,000+ fan actions logged</t>
  </si>
  <si>
    <t xml:space="preserve">ARSENAL FC  |  GREEN SKILLS &amp; DIGITAL/AI CAPABILITIES REQUIRED PER TEAM</t>
  </si>
  <si>
    <t xml:space="preserve">Team</t>
  </si>
  <si>
    <t xml:space="preserve">Skill Family</t>
  </si>
  <si>
    <t xml:space="preserve">Specific Skill / Capability</t>
  </si>
  <si>
    <t xml:space="preserve">Current Maturity
(Est. 1-5)</t>
  </si>
  <si>
    <t xml:space="preserve">Target Maturity
(by 2027)</t>
  </si>
  <si>
    <t xml:space="preserve">Gap</t>
  </si>
  <si>
    <t xml:space="preserve">Delivery Mode</t>
  </si>
  <si>
    <t xml:space="preserve">Data Requirements to Monitor Progress</t>
  </si>
  <si>
    <t xml:space="preserve">Digital/AI Tool</t>
  </si>
  <si>
    <t xml:space="preserve">Interdependency</t>
  </si>
  <si>
    <t xml:space="preserve">T1 Operations</t>
  </si>
  <si>
    <t xml:space="preserve">Technical (Green)</t>
  </si>
  <si>
    <t xml:space="preserve">Energy Management Systems (ISO 50001, BMS operation)</t>
  </si>
  <si>
    <t xml:space="preserve">Certification + OJT</t>
  </si>
  <si>
    <t xml:space="preserve">kWh consumption per building per month; boiler efficiency data; EV charging utilisation</t>
  </si>
  <si>
    <t xml:space="preserve">IoT sensor platform; BMS analytics dashboard</t>
  </si>
  <si>
    <t xml:space="preserve">IT (data feeds), Finance (capex approval)</t>
  </si>
  <si>
    <t xml:space="preserve">Battery Storage Dispatch Optimisation</t>
  </si>
  <si>
    <t xml:space="preserve">Technical training + vendor upskilling</t>
  </si>
  <si>
    <t xml:space="preserve">Battery charge/discharge cycles; grid tariff data; peak demand data</t>
  </si>
  <si>
    <t xml:space="preserve">AI energy dispatch optimiser (e.g. Flexitricity-type)</t>
  </si>
  <si>
    <t xml:space="preserve">IT (API integration)</t>
  </si>
  <si>
    <t xml:space="preserve">Carbon Footprint Measurement (site-level)</t>
  </si>
  <si>
    <t xml:space="preserve">GHG Protocol training</t>
  </si>
  <si>
    <t xml:space="preserve">Site-level energy bills; F-gas logs; fleet fuel logs</t>
  </si>
  <si>
    <t xml:space="preserve">Carbon accounting software (e.g. Watershed, Sweep)</t>
  </si>
  <si>
    <t xml:space="preserve">Finance (reporting), ESG (oversight)</t>
  </si>
  <si>
    <t xml:space="preserve">Knowledgeable</t>
  </si>
  <si>
    <t xml:space="preserve">HVAC &amp; Refrigerant Management (F-gas)</t>
  </si>
  <si>
    <t xml:space="preserve">Specialist training</t>
  </si>
  <si>
    <t xml:space="preserve">Fugitive emission logs; refrigerant top-up records</t>
  </si>
  <si>
    <t xml:space="preserve">Building management system (BMS)</t>
  </si>
  <si>
    <t xml:space="preserve">Legal (compliance), Procurement (equipment)</t>
  </si>
  <si>
    <t xml:space="preserve">T2 Procurement</t>
  </si>
  <si>
    <t xml:space="preserve">Supplier Carbon Clause Negotiation</t>
  </si>
  <si>
    <t xml:space="preserve">Workshop + legal upskilling</t>
  </si>
  <si>
    <t xml:space="preserve">Supplier spend data; supplier emission disclosures; contract database</t>
  </si>
  <si>
    <t xml:space="preserve">Supplier sustainability platform (e.g. EcoVadis, Sedex)</t>
  </si>
  <si>
    <t xml:space="preserve">Legal (clause drafting)</t>
  </si>
  <si>
    <t xml:space="preserve">Product Carbon Footprinting (PCF) – Scope 3 Cat 1</t>
  </si>
  <si>
    <t xml:space="preserve">PCF methodology training (GHG Protocol)</t>
  </si>
  <si>
    <t xml:space="preserve">Supplier material composition data; logistics distance; manufacturing energy intensity</t>
  </si>
  <si>
    <t xml:space="preserve">AI-powered PCF tool (e.g. Carbonfact, Planetly)</t>
  </si>
  <si>
    <t xml:space="preserve">IT (data integration), Marketing (product data)</t>
  </si>
  <si>
    <t xml:space="preserve">Scope 3 Category 1 (Purchased Goods) Assessment</t>
  </si>
  <si>
    <t xml:space="preserve">GHG Protocol Scope 3 e-learning</t>
  </si>
  <si>
    <t xml:space="preserve">Spend-based emission factors per category; supplier primary data</t>
  </si>
  <si>
    <t xml:space="preserve">Spend-based S3 emissions calculator</t>
  </si>
  <si>
    <t xml:space="preserve">Finance (spend data), IT (ERP integration)</t>
  </si>
  <si>
    <t xml:space="preserve">Values</t>
  </si>
  <si>
    <t xml:space="preserve">Whole-Life Cost &amp; Carbon Pricing in Procurement Decisions</t>
  </si>
  <si>
    <t xml:space="preserve">Internal carbon pricing workshop</t>
  </si>
  <si>
    <t xml:space="preserve">Internal carbon price (£/tCO2e); capex appraisal templates</t>
  </si>
  <si>
    <t xml:space="preserve">Integrated carbon-cost procurement tool</t>
  </si>
  <si>
    <t xml:space="preserve">Finance (ICP setting), CxO (approval)</t>
  </si>
  <si>
    <t xml:space="preserve">T3 Legal</t>
  </si>
  <si>
    <t xml:space="preserve">Climate Contract Clause Drafting (Scope 3 supplier obligations)</t>
  </si>
  <si>
    <t xml:space="preserve">Specialist legal CPD + external counsel</t>
  </si>
  <si>
    <t xml:space="preserve">Supplier contract database; clause compliance tracking</t>
  </si>
  <si>
    <t xml:space="preserve">Contract lifecycle management (CLM) with ESG tagging</t>
  </si>
  <si>
    <t xml:space="preserve">Procurement (supplier list), CxO (mandate)</t>
  </si>
  <si>
    <t xml:space="preserve">CSRD / TCFD Regulatory Compliance</t>
  </si>
  <si>
    <t xml:space="preserve">CSRD training programme (mandatory by 2026)</t>
  </si>
  <si>
    <t xml:space="preserve">CSRD materiality assessment data; TCFD scenario data</t>
  </si>
  <si>
    <t xml:space="preserve">ESG reporting platform (e.g. Workiva, Envizi)</t>
  </si>
  <si>
    <t xml:space="preserve">Finance (reporting), CxO (governance)</t>
  </si>
  <si>
    <t xml:space="preserve">Modern Slavery &amp; Supply Chain Due Diligence (Green lens)</t>
  </si>
  <si>
    <t xml:space="preserve">Annual CPD</t>
  </si>
  <si>
    <t xml:space="preserve">Supply chain mapping data; supplier audit results</t>
  </si>
  <si>
    <t xml:space="preserve">Supplier risk platform</t>
  </si>
  <si>
    <t xml:space="preserve">Procurement, HR</t>
  </si>
  <si>
    <t xml:space="preserve">T4 Marketing/Retail</t>
  </si>
  <si>
    <t xml:space="preserve">Product Carbon Footprinting (PCF) – Kit &amp; Licensed Products</t>
  </si>
  <si>
    <t xml:space="preserve">PCF certification (e.g. PAS 2050 awareness)</t>
  </si>
  <si>
    <t xml:space="preserve">Kit material breakdown (% polyester/recycled); manufacturing country; shipping mode</t>
  </si>
  <si>
    <t xml:space="preserve">PCF tool linked to supplier data (Carbonfact or similar)</t>
  </si>
  <si>
    <t xml:space="preserve">Procurement (supplier data), IT (data pipeline)</t>
  </si>
  <si>
    <t xml:space="preserve">Eco-Label &amp; Sustainable Marketing Standards (Green Claims Code)</t>
  </si>
  <si>
    <t xml:space="preserve">Green marketing compliance training</t>
  </si>
  <si>
    <t xml:space="preserve">Product environmental attribute data; recycled content %</t>
  </si>
  <si>
    <t xml:space="preserve">Eco-label verification software</t>
  </si>
  <si>
    <t xml:space="preserve">Legal (claims compliance)</t>
  </si>
  <si>
    <t xml:space="preserve">Sustainable E-Commerce Logistics (Arsenal Direct)</t>
  </si>
  <si>
    <t xml:space="preserve">Logistics carbon literacy session</t>
  </si>
  <si>
    <t xml:space="preserve">Parcel delivery miles; courier emission factors; packaging weight</t>
  </si>
  <si>
    <t xml:space="preserve">Last-mile carbon tracker (e.g. Cozero)</t>
  </si>
  <si>
    <t xml:space="preserve">Logistics team, IT</t>
  </si>
  <si>
    <t xml:space="preserve">Fan Behaviour Change &amp; Green Engagement Design</t>
  </si>
  <si>
    <t xml:space="preserve">Behavioural science + sustainability communication</t>
  </si>
  <si>
    <t xml:space="preserve">Fan survey data; Green Action League engagement metrics; modal shift data</t>
  </si>
  <si>
    <t xml:space="preserve">CRM with sustainability tagging; campaign analytics</t>
  </si>
  <si>
    <t xml:space="preserve">Community team, ESG</t>
  </si>
  <si>
    <t xml:space="preserve">T5 Finance</t>
  </si>
  <si>
    <t xml:space="preserve">Carbon Accounting (GHG Protocol + SBTi Financial Disclosure)</t>
  </si>
  <si>
    <t xml:space="preserve">GHG Protocol + TCFD finance module</t>
  </si>
  <si>
    <t xml:space="preserve">Full P&amp;L mapped to emission categories; capex schedule; carbon price assumptions</t>
  </si>
  <si>
    <t xml:space="preserve">Carbon accounting platform integrated with ERP</t>
  </si>
  <si>
    <t xml:space="preserve">All teams (data owners), CxO (sign-off)</t>
  </si>
  <si>
    <t xml:space="preserve">Internal Carbon Pricing (ICP) Methodology</t>
  </si>
  <si>
    <t xml:space="preserve">ICP workshop (shadow price setting)</t>
  </si>
  <si>
    <t xml:space="preserve">Business unit spend; emission intensity factors; carbon market price</t>
  </si>
  <si>
    <t xml:space="preserve">Excel/BI model with ICP overlay</t>
  </si>
  <si>
    <t xml:space="preserve">CxO (approval), All teams (budget holders)</t>
  </si>
  <si>
    <t xml:space="preserve">Green Finance Instruments (sustainability-linked loans, green bonds)</t>
  </si>
  <si>
    <t xml:space="preserve">Treasury green finance training</t>
  </si>
  <si>
    <t xml:space="preserve">Club debt schedule; KPI metrics for SLL covenants</t>
  </si>
  <si>
    <t xml:space="preserve">Green finance structuring advisory</t>
  </si>
  <si>
    <t xml:space="preserve">Legal (documentation), CxO</t>
  </si>
  <si>
    <t xml:space="preserve">T6 IT</t>
  </si>
  <si>
    <t xml:space="preserve">Technical (Digital/AI)</t>
  </si>
  <si>
    <t xml:space="preserve">Supplier Data Integration &amp; API Management for PCF</t>
  </si>
  <si>
    <t xml:space="preserve">Data engineering upskilling</t>
  </si>
  <si>
    <t xml:space="preserve">Supplier ERP/data formats; emission factor databases (EXIOBASE, ecoinvent)</t>
  </si>
  <si>
    <t xml:space="preserve">Supplier data platform + API layer</t>
  </si>
  <si>
    <t xml:space="preserve">Procurement, Marketing</t>
  </si>
  <si>
    <t xml:space="preserve">AI / ML for Energy Optimisation (BMS + battery)</t>
  </si>
  <si>
    <t xml:space="preserve">ML engineering + energy domain knowledge</t>
  </si>
  <si>
    <t xml:space="preserve">30-min interval energy consumption data; weather data; occupancy data</t>
  </si>
  <si>
    <t xml:space="preserve">ML pipeline on BMS data (e.g. Google DeepMind Gemini for buildings type)</t>
  </si>
  <si>
    <t xml:space="preserve">Operations</t>
  </si>
  <si>
    <t xml:space="preserve">Carbon Reporting Dashboard (real-time SBTi progress)</t>
  </si>
  <si>
    <t xml:space="preserve">BI tooling + GHG Protocol data modelling</t>
  </si>
  <si>
    <t xml:space="preserve">All scope 1/2/3 data feeds; targets vs actuals; emissions by category</t>
  </si>
  <si>
    <t xml:space="preserve">Power BI / Tableau + carbon data layer</t>
  </si>
  <si>
    <t xml:space="preserve">All teams, Finance, CxO</t>
  </si>
  <si>
    <t xml:space="preserve">Data Governance &amp; Emissions Data Quality Management</t>
  </si>
  <si>
    <t xml:space="preserve">Data governance framework training</t>
  </si>
  <si>
    <t xml:space="preserve">Data completeness metrics; estimation vs measured split</t>
  </si>
  <si>
    <t xml:space="preserve">Data catalogue + quality scoring tool</t>
  </si>
  <si>
    <t xml:space="preserve">ESG (verification), Finance</t>
  </si>
  <si>
    <t xml:space="preserve">T7 HR</t>
  </si>
  <si>
    <t xml:space="preserve">Green Skills Gap Analysis &amp; Learning Needs Assessment</t>
  </si>
  <si>
    <t xml:space="preserve">GSIP methodology training (Sustained Futures)</t>
  </si>
  <si>
    <t xml:space="preserve">Role-level skills inventory; training completion data; competency assessment scores</t>
  </si>
  <si>
    <t xml:space="preserve">GSIP platform / HRMS with green skills module</t>
  </si>
  <si>
    <t xml:space="preserve">Sustainable Commuting Scheme Design &amp; Measurement</t>
  </si>
  <si>
    <t xml:space="preserve">Commuting survey + TfL data integration</t>
  </si>
  <si>
    <t xml:space="preserve">Employee home postcode data; commuting mode survey; public transport proximity</t>
  </si>
  <si>
    <t xml:space="preserve">Commuting carbon calculator (e.g. Limeade)</t>
  </si>
  <si>
    <t xml:space="preserve">Operations, Finance</t>
  </si>
  <si>
    <t xml:space="preserve">ESG-Linked KPI Integration into Performance Reviews</t>
  </si>
  <si>
    <t xml:space="preserve">HR policy redesign workshop</t>
  </si>
  <si>
    <t xml:space="preserve">ESG KPI data per team; performance review templates</t>
  </si>
  <si>
    <t xml:space="preserve">HRMS (e.g. Workday with ESG module)</t>
  </si>
  <si>
    <t xml:space="preserve">CxO (mandate), All managers</t>
  </si>
  <si>
    <t xml:space="preserve">T8 CxO</t>
  </si>
  <si>
    <t xml:space="preserve">Climate Governance &amp; SBTi Accountability Frameworks</t>
  </si>
  <si>
    <t xml:space="preserve">Board-level climate governance training (TCFD)</t>
  </si>
  <si>
    <t xml:space="preserve">Board-level climate risk register; SBTi progress data; EMS Group minutes</t>
  </si>
  <si>
    <t xml:space="preserve">ESG governance platform + Board reporting pack</t>
  </si>
  <si>
    <t xml:space="preserve">All teams, Legal, Finance</t>
  </si>
  <si>
    <t xml:space="preserve">TCFD Climate Risk Scenario Analysis</t>
  </si>
  <si>
    <t xml:space="preserve">TCFD scenario workshop + consultant support</t>
  </si>
  <si>
    <t xml:space="preserve">Physical + transition risk data; financial exposure modelling</t>
  </si>
  <si>
    <t xml:space="preserve">Climate scenario tool (e.g. Planetrics, MSCI)</t>
  </si>
  <si>
    <t xml:space="preserve">Finance, Legal, Operations</t>
  </si>
  <si>
    <t xml:space="preserve">Sustainability-Led Commercial Partnership Strategy</t>
  </si>
  <si>
    <t xml:space="preserve">Stakeholder engagement + ESG comms training</t>
  </si>
  <si>
    <t xml:space="preserve">Partner ESG scores; sponsorship revenue linked to sustainability</t>
  </si>
  <si>
    <t xml:space="preserve">CRM with ESG partner scoring</t>
  </si>
  <si>
    <t xml:space="preserve">Legal, Marketing, Finance</t>
  </si>
  <si>
    <t xml:space="preserve">T9 Logistics</t>
  </si>
  <si>
    <t xml:space="preserve">Last-Mile Delivery Decarbonisation (Arsenal Direct)</t>
  </si>
  <si>
    <t xml:space="preserve">Logistics carbon literacy + carrier benchmarking</t>
  </si>
  <si>
    <t xml:space="preserve">Parcel volume; delivery miles; courier emission factors per kg</t>
  </si>
  <si>
    <t xml:space="preserve">Courier carbon comparison tool</t>
  </si>
  <si>
    <t xml:space="preserve">Marketing (Arsenal Direct), Procurement</t>
  </si>
  <si>
    <t xml:space="preserve">F&amp;B Supply Chain Carbon Footprinting (matchday catering)</t>
  </si>
  <si>
    <t xml:space="preserve">Food carbon literacy + PCF basics</t>
  </si>
  <si>
    <t xml:space="preserve">Menu ingredients; supplier origin; weight per serving</t>
  </si>
  <si>
    <t xml:space="preserve">Food PCF tool (e.g. My Emissions)</t>
  </si>
  <si>
    <t xml:space="preserve">Procurement, Operations</t>
  </si>
  <si>
    <t xml:space="preserve">T10 Community</t>
  </si>
  <si>
    <t xml:space="preserve">Green Fan Engagement &amp; Behaviour Change Communication</t>
  </si>
  <si>
    <t xml:space="preserve">Behavioural science training; sustainability storytelling</t>
  </si>
  <si>
    <t xml:space="preserve">Green Action League participation data; fan travel modal shift; carbon saved metrics</t>
  </si>
  <si>
    <t xml:space="preserve">Fan engagement platform + carbon action tracker</t>
  </si>
  <si>
    <t xml:space="preserve">Marketing, ESG, Commercial</t>
  </si>
  <si>
    <t xml:space="preserve">Community Climate Resilience (Islington Climate Plan)</t>
  </si>
  <si>
    <t xml:space="preserve">Community sustainability programme design</t>
  </si>
  <si>
    <t xml:space="preserve">Local air quality data; community vulnerability index; programme KPI data</t>
  </si>
  <si>
    <t xml:space="preserve">Community impact reporting tool</t>
  </si>
  <si>
    <t xml:space="preserve">ESG, Local authority (Islington LBC)</t>
  </si>
  <si>
    <t xml:space="preserve">ARSENAL FC  |  TEAM INTERDEPENDENCIES &amp; CRITICAL UNLOCK RELATIONSHIPS</t>
  </si>
  <si>
    <t xml:space="preserve">Interdependency Name</t>
  </si>
  <si>
    <t xml:space="preserve">Teams Involved</t>
  </si>
  <si>
    <t xml:space="preserve">Reduction Lever Unlocked</t>
  </si>
  <si>
    <t xml:space="preserve">What Must Happen First</t>
  </si>
  <si>
    <t xml:space="preserve">What Is Unblocked</t>
  </si>
  <si>
    <t xml:space="preserve">Emission Opportunity
(tCO2e)</t>
  </si>
  <si>
    <t xml:space="preserve">Risk if NOT Resolved</t>
  </si>
  <si>
    <t xml:space="preserve">Urgency</t>
  </si>
  <si>
    <t xml:space="preserve">I1</t>
  </si>
  <si>
    <t xml:space="preserve">Kit &amp; Merchandise Decarb
(HIGHEST PRIORITY)</t>
  </si>
  <si>
    <t xml:space="preserve">Procurement + Legal + Marketing</t>
  </si>
  <si>
    <t xml:space="preserve">Scope 3 Cat 1 &amp; 11 reduction (purchased goods + products sold)</t>
  </si>
  <si>
    <t xml:space="preserve">Legal drafts climate clause; Procurement negotiates with Adidas/JD Sports; IT builds PCF data pipeline</t>
  </si>
  <si>
    <t xml:space="preserve">Arsenal can set &amp; track kit PCF; enforce supplier SBTi targets; achieve ~2,200 tCO2e reduction</t>
  </si>
  <si>
    <t xml:space="preserve">~2,200 tCO2e</t>
  </si>
  <si>
    <t xml:space="preserve">SBTi Scope 3 target missed; reputational risk re. kit sustainability</t>
  </si>
  <si>
    <t xml:space="preserve">CRITICAL / 2025</t>
  </si>
  <si>
    <t xml:space="preserve">I2</t>
  </si>
  <si>
    <t xml:space="preserve">Supplier Contract Climate Clauses
(Enables all S3)</t>
  </si>
  <si>
    <t xml:space="preserve">Legal + Procurement + CxO</t>
  </si>
  <si>
    <t xml:space="preserve">Scope 3 Cat 1 (upstream suppliers) emissions reduction</t>
  </si>
  <si>
    <t xml:space="preserve">CxO mandates climate clauses in all new/renewed contracts; Legal drafts standard clause library</t>
  </si>
  <si>
    <t xml:space="preserve">All procurement contracts include emission reporting requirements; supplier data flows improve</t>
  </si>
  <si>
    <t xml:space="preserve">~3,000 tCO2e (all S3 suppliers combined)</t>
  </si>
  <si>
    <t xml:space="preserve">No legal basis to enforce supplier decarb; data gap persists</t>
  </si>
  <si>
    <t xml:space="preserve">CRITICAL / Q1 2026</t>
  </si>
  <si>
    <t xml:space="preserve">I3</t>
  </si>
  <si>
    <t xml:space="preserve">Supplier Carbon Data Pipeline</t>
  </si>
  <si>
    <t xml:space="preserve">IT + Procurement + Finance</t>
  </si>
  <si>
    <t xml:space="preserve">PCF accuracy; SBTi Scope 3 data quality (currently 65% estimated)</t>
  </si>
  <si>
    <t xml:space="preserve">IT builds supplier API/data intake; Finance allocates spend data; Procurement maps top 20 suppliers</t>
  </si>
  <si>
    <t xml:space="preserve">Scope 3 moves from spend-based to activity-based data; reporting accuracy improves significantly</t>
  </si>
  <si>
    <t xml:space="preserve">Enables all S3 target credibility</t>
  </si>
  <si>
    <t xml:space="preserve">SBTi reporting remains ~65% estimated; regulatory exposure under CSRD</t>
  </si>
  <si>
    <t xml:space="preserve">CRITICAL / 2026</t>
  </si>
  <si>
    <t xml:space="preserve">I4</t>
  </si>
  <si>
    <t xml:space="preserve">Internal Carbon Pricing</t>
  </si>
  <si>
    <t xml:space="preserve">Finance + CxO + All teams</t>
  </si>
  <si>
    <t xml:space="preserve">All pillars: embeds carbon cost in every capex/opex decision</t>
  </si>
  <si>
    <t xml:space="preserve">CxO approves shadow carbon price (suggested £85-150/tCO2e); Finance integrates into templates</t>
  </si>
  <si>
    <t xml:space="preserve">Every team self-filters high-carbon decisions; green capex prioritised automatically</t>
  </si>
  <si>
    <t xml:space="preserve">Cross-cutting enabler</t>
  </si>
  <si>
    <t xml:space="preserve">Carbon-blind decisions persist; missed energy/procurement savings</t>
  </si>
  <si>
    <t xml:space="preserve">HIGH / 2026</t>
  </si>
  <si>
    <t xml:space="preserve">I5</t>
  </si>
  <si>
    <t xml:space="preserve">Energy BMS + AI Optimisation</t>
  </si>
  <si>
    <t xml:space="preserve">IT + Operations + Finance</t>
  </si>
  <si>
    <t xml:space="preserve">Scope 1 &amp; 2 energy reduction (battery dispatch, HVAC)</t>
  </si>
  <si>
    <t xml:space="preserve">IT integrates BMS data feeds; Operations trains on dispatch logic; Finance approves CAPEX</t>
  </si>
  <si>
    <t xml:space="preserve">Battery and HVAC run on AI-optimised schedules; 30% energy reduction potential</t>
  </si>
  <si>
    <t xml:space="preserve">~800-1,200 tCO2e</t>
  </si>
  <si>
    <t xml:space="preserve">Emirates stadium energy costs remain sub-optimal; battery underutilised</t>
  </si>
  <si>
    <t xml:space="preserve">I6</t>
  </si>
  <si>
    <t xml:space="preserve">Green Skills Upskilling Programme</t>
  </si>
  <si>
    <t xml:space="preserve">HR + CxO + All teams</t>
  </si>
  <si>
    <t xml:space="preserve">Enables ALL pillars: without green skills, teams cannot execute</t>
  </si>
  <si>
    <t xml:space="preserve">HR conducts GSIP skills gap analysis; CxO approves L&amp;D budget; Sustained Futures delivers programme</t>
  </si>
  <si>
    <t xml:space="preserve">Every team has baseline green literacy; critical roles have advanced capability</t>
  </si>
  <si>
    <t xml:space="preserve">Multiplier on all pillars</t>
  </si>
  <si>
    <t xml:space="preserve">Targets are set but no team knows how to deliver them; compliance risk</t>
  </si>
  <si>
    <t xml:space="preserve">I7</t>
  </si>
  <si>
    <t xml:space="preserve">Fan Travel Engagement
(Outside SBTi scope but reputationally critical)</t>
  </si>
  <si>
    <t xml:space="preserve">Marketing + Community + Commercial Partners</t>
  </si>
  <si>
    <t xml:space="preserve">Scope 3 fan travel (largest single emission source)</t>
  </si>
  <si>
    <t xml:space="preserve">Marketing designs campaign; Commercial Partners (TfL, Ball Corp) co-fund; Community delivers locally</t>
  </si>
  <si>
    <t xml:space="preserve">Green Action League scales; modal shift data collected; 95% sustainable travel maintained</t>
  </si>
  <si>
    <t xml:space="preserve">Fan travel = dominant S3 source; influence lever</t>
  </si>
  <si>
    <t xml:space="preserve">Brand risk if other clubs accelerate fan engagement</t>
  </si>
  <si>
    <t xml:space="preserve">MEDIUM / Ongoing</t>
  </si>
  <si>
    <t xml:space="preserve">I8</t>
  </si>
  <si>
    <t xml:space="preserve">CSRD Compliance Readiness</t>
  </si>
  <si>
    <t xml:space="preserve">Legal + Finance + IT + CxO</t>
  </si>
  <si>
    <t xml:space="preserve">Regulatory compliance + access to green finance</t>
  </si>
  <si>
    <t xml:space="preserve">Legal maps CSRD obligations (applies to Arsenal parent entity); Finance designs CSRD reporting; IT builds data capture</t>
  </si>
  <si>
    <t xml:space="preserve">CSRD-ready ESG reporting by 2026 deadline; unlocks sustainability-linked loan terms</t>
  </si>
  <si>
    <t xml:space="preserve">Financial + regulatory risk mitigation</t>
  </si>
  <si>
    <t xml:space="preserve">Regulatory fines; loss of green finance instruments; investor scrutiny</t>
  </si>
  <si>
    <t xml:space="preserve">HIGH / 2025-2026</t>
  </si>
  <si>
    <t xml:space="preserve">I9</t>
  </si>
  <si>
    <t xml:space="preserve">Arsenal Direct Sustainable Logistics</t>
  </si>
  <si>
    <t xml:space="preserve">Logistics + Marketing + Procurement</t>
  </si>
  <si>
    <t xml:space="preserve">Scope 3 Cat 4 (upstream transport) &amp; Cat 9 (downstream transport) reduction</t>
  </si>
  <si>
    <t xml:space="preserve">Procurement renegotiates carrier contracts with carbon criteria; Marketing integrates green delivery option at checkout</t>
  </si>
  <si>
    <t xml:space="preserve">Verified reduction in last-mile delivery emissions; customer-facing sustainability credential</t>
  </si>
  <si>
    <t xml:space="preserve">~200-400 tCO2e</t>
  </si>
  <si>
    <t xml:space="preserve">Scope 3 downstream gap; reputational risk for e-commerce sustainability</t>
  </si>
  <si>
    <t xml:space="preserve">MEDIUM / 2026</t>
  </si>
  <si>
    <t xml:space="preserve">I10</t>
  </si>
  <si>
    <t xml:space="preserve">Green Recruitment &amp; ESG-Linked KPIs</t>
  </si>
  <si>
    <t xml:space="preserve">HR + CxO</t>
  </si>
  <si>
    <t xml:space="preserve">Embeds sustainability in culture long-term</t>
  </si>
  <si>
    <t xml:space="preserve">CxO mandates ESG KPIs in all senior role JDs and performance reviews; HR redesigns competency frameworks</t>
  </si>
  <si>
    <t xml:space="preserve">All senior hires screened for green literacy; ESG KPIs tracked in annual reviews</t>
  </si>
  <si>
    <t xml:space="preserve">Cultural multiplier</t>
  </si>
  <si>
    <t xml:space="preserve">Green strategy not embedded in day-to-day culture; key person risk on ESG team</t>
  </si>
  <si>
    <t xml:space="preserve">ARSENAL FC  |  NET ZERO SKILLS &amp; DELIVERY ROADMAP  |  PARETO PRIORITISATION (2025-2040)</t>
  </si>
  <si>
    <t xml:space="preserve">PARETO PRINCIPLE APPLIED: The top 3 interventions (Kit Supply Chain, Supplier Climate Clauses, Green Skills Programme) estimated to deliver ~80% of required Scope 3 reduction. Prioritise these in 2025-2026.</t>
  </si>
  <si>
    <t xml:space="preserve">Initiative</t>
  </si>
  <si>
    <t xml:space="preserve">Lead Team(s)</t>
  </si>
  <si>
    <t xml:space="preserve">Phase</t>
  </si>
  <si>
    <t xml:space="preserve">Start</t>
  </si>
  <si>
    <t xml:space="preserve">Complete</t>
  </si>
  <si>
    <t xml:space="preserve">Skills to Build</t>
  </si>
  <si>
    <t xml:space="preserve">Upskilling Method</t>
  </si>
  <si>
    <t xml:space="preserve">Est. tCO2e Saved</t>
  </si>
  <si>
    <t xml:space="preserve">Risk (if late)</t>
  </si>
  <si>
    <t xml:space="preserve">Reward (financial £)</t>
  </si>
  <si>
    <t xml:space="preserve">Pareto %</t>
  </si>
  <si>
    <t xml:space="preserve">R1</t>
  </si>
  <si>
    <t xml:space="preserve">GSIP Skills Gap Assessment
(ALL Teams)</t>
  </si>
  <si>
    <t xml:space="preserve">HR + Sustained Futures</t>
  </si>
  <si>
    <t xml:space="preserve">All</t>
  </si>
  <si>
    <t xml:space="preserve">Phase 1: Foundation</t>
  </si>
  <si>
    <t xml:space="preserve">Q1 2025</t>
  </si>
  <si>
    <t xml:space="preserve">Q3 2025</t>
  </si>
  <si>
    <t xml:space="preserve">Green skills baseline mapping; GSIP methodology</t>
  </si>
  <si>
    <t xml:space="preserve">Sustained Futures GSIP programme</t>
  </si>
  <si>
    <t xml:space="preserve">Foundation for all pillars</t>
  </si>
  <si>
    <t xml:space="preserve">No team knows what to build; all targets at risk</t>
  </si>
  <si>
    <t xml:space="preserve">£50-100k avoided rework cost</t>
  </si>
  <si>
    <t xml:space="preserve">Enables 100%</t>
  </si>
  <si>
    <t xml:space="preserve">R2</t>
  </si>
  <si>
    <t xml:space="preserve">Climate Clause Library
(Legal + Procurement)</t>
  </si>
  <si>
    <t xml:space="preserve">Pillar 2</t>
  </si>
  <si>
    <t xml:space="preserve">Q2 2025</t>
  </si>
  <si>
    <t xml:space="preserve">Q4 2025</t>
  </si>
  <si>
    <t xml:space="preserve">Climate contract law; Scope 3 supplier engagement; PCF basics</t>
  </si>
  <si>
    <t xml:space="preserve">Legal CPD + procurement workshop (3 days)</t>
  </si>
  <si>
    <t xml:space="preserve">~3,000 tCO2e unlocked</t>
  </si>
  <si>
    <t xml:space="preserve">Scope 3 legally unenforceable; supplier data gap</t>
  </si>
  <si>
    <t xml:space="preserve">£500k+ avoided carbon penalty / procurement savings</t>
  </si>
  <si>
    <t xml:space="preserve">~30%</t>
  </si>
  <si>
    <t xml:space="preserve">R3</t>
  </si>
  <si>
    <t xml:space="preserve">CSRD / TCFD Readiness
(Legal + Finance + IT)</t>
  </si>
  <si>
    <t xml:space="preserve">Legal + Finance + IT</t>
  </si>
  <si>
    <t xml:space="preserve">Cross-cutting</t>
  </si>
  <si>
    <t xml:space="preserve">Q1 2026</t>
  </si>
  <si>
    <t xml:space="preserve">CSRD double materiality; TCFD disclosure; carbon accounting (GHG Protocol)</t>
  </si>
  <si>
    <t xml:space="preserve">CSRD training programme + external advisory</t>
  </si>
  <si>
    <t xml:space="preserve">Regulatory compliance</t>
  </si>
  <si>
    <t xml:space="preserve">Regulatory fine; loss of green finance access</t>
  </si>
  <si>
    <t xml:space="preserve">£200-500k saved (green finance premium)</t>
  </si>
  <si>
    <t xml:space="preserve">Enables reporting</t>
  </si>
  <si>
    <t xml:space="preserve">R4</t>
  </si>
  <si>
    <t xml:space="preserve">CxO Green Governance
&amp; Internal Carbon Price</t>
  </si>
  <si>
    <t xml:space="preserve">CxO + Finance</t>
  </si>
  <si>
    <t xml:space="preserve">Climate governance; SBTi accountability; ICP methodology</t>
  </si>
  <si>
    <t xml:space="preserve">Board climate briefing (0.5 day) + Finance ICP workshop</t>
  </si>
  <si>
    <t xml:space="preserve">Without mandate, all other initiatives stall</t>
  </si>
  <si>
    <t xml:space="preserve">Sets up £-per-tonne savings across all capex</t>
  </si>
  <si>
    <t xml:space="preserve">Governance enabler</t>
  </si>
  <si>
    <t xml:space="preserve">R5</t>
  </si>
  <si>
    <t xml:space="preserve">Kit &amp; Merchandise PCF Programme
(HIGHEST IMPACT S3 lever)</t>
  </si>
  <si>
    <t xml:space="preserve">Marketing + Procurement + IT</t>
  </si>
  <si>
    <t xml:space="preserve">Phase 2: Build</t>
  </si>
  <si>
    <t xml:space="preserve">Q4 2026</t>
  </si>
  <si>
    <t xml:space="preserve">Product Carbon Footprinting (PCF/PAS2050); sustainable materials; eco-labelling; supplier engagement</t>
  </si>
  <si>
    <t xml:space="preserve">PCF certification training + IT data pipeline build</t>
  </si>
  <si>
    <t xml:space="preserve">~2,200 tCO2e (kit + licensed products)</t>
  </si>
  <si>
    <t xml:space="preserve">Scope 3 target missed; risk of greenwashing claims</t>
  </si>
  <si>
    <t xml:space="preserve">£1-2m revenue uplift from eco-conscious partnerships</t>
  </si>
  <si>
    <t xml:space="preserve">~25%</t>
  </si>
  <si>
    <t xml:space="preserve">R6</t>
  </si>
  <si>
    <t xml:space="preserve">Supplier Data Platform
(IT + Procurement)</t>
  </si>
  <si>
    <t xml:space="preserve">IT + Procurement</t>
  </si>
  <si>
    <t xml:space="preserve">Q3 2026</t>
  </si>
  <si>
    <t xml:space="preserve">API integration; data governance; emission factor databases; supplier onboarding</t>
  </si>
  <si>
    <t xml:space="preserve">Data engineering upskilling + vendor selection</t>
  </si>
  <si>
    <t xml:space="preserve">Reduces estimated emissions from 65% to &lt;30%</t>
  </si>
  <si>
    <t xml:space="preserve">SBTi reporting credibility undermined</t>
  </si>
  <si>
    <t xml:space="preserve">£100-300k saved in annual reporting costs</t>
  </si>
  <si>
    <t xml:space="preserve">Data quality</t>
  </si>
  <si>
    <t xml:space="preserve">R7</t>
  </si>
  <si>
    <t xml:space="preserve">Energy BMS + AI Optimisation
(Emirates + Training Centre)</t>
  </si>
  <si>
    <t xml:space="preserve">Operations + IT + Finance</t>
  </si>
  <si>
    <t xml:space="preserve">Pillar 1</t>
  </si>
  <si>
    <t xml:space="preserve">Q2 2026</t>
  </si>
  <si>
    <t xml:space="preserve">Q2 2027</t>
  </si>
  <si>
    <t xml:space="preserve">BMS operations; energy data analytics; AI dispatch logic; ISO 50001</t>
  </si>
  <si>
    <t xml:space="preserve">Technical OJT + vendor training + ISO 50001 cert</t>
  </si>
  <si>
    <t xml:space="preserve">Energy costs remain inflated; battery underused</t>
  </si>
  <si>
    <t xml:space="preserve">£200-400k/yr energy cost savings</t>
  </si>
  <si>
    <t xml:space="preserve">~12%</t>
  </si>
  <si>
    <t xml:space="preserve">R8</t>
  </si>
  <si>
    <t xml:space="preserve">Arsenal Direct Green Logistics</t>
  </si>
  <si>
    <t xml:space="preserve">Pillar 3</t>
  </si>
  <si>
    <t xml:space="preserve">Last-mile carbon footprinting; carrier benchmarking; logistics green procurement</t>
  </si>
  <si>
    <t xml:space="preserve">Carbon literacy workshop (1 day) + procurement upskilling</t>
  </si>
  <si>
    <t xml:space="preserve">Scope 3 downstream gap</t>
  </si>
  <si>
    <t xml:space="preserve">£50-150k carrier cost savings (EV fleet lower cost)</t>
  </si>
  <si>
    <t xml:space="preserve">~4%</t>
  </si>
  <si>
    <t xml:space="preserve">R9</t>
  </si>
  <si>
    <t xml:space="preserve">ESG KPIs in Performance
Reviews + Green Recruitment</t>
  </si>
  <si>
    <t xml:space="preserve">Green HR policy; competency framework redesign; ESG interviewing</t>
  </si>
  <si>
    <t xml:space="preserve">HR policy workshop + GSIP competency framework</t>
  </si>
  <si>
    <t xml:space="preserve">ESG remains a siloed ESG team function</t>
  </si>
  <si>
    <t xml:space="preserve">Talent attraction: premium ESG talent pipeline</t>
  </si>
  <si>
    <t xml:space="preserve">Cultural</t>
  </si>
  <si>
    <t xml:space="preserve">R10</t>
  </si>
  <si>
    <t xml:space="preserve">Scope 3 Full Value Chain
Decarb Programme</t>
  </si>
  <si>
    <t xml:space="preserve">Procurement + Legal + IT + All</t>
  </si>
  <si>
    <t xml:space="preserve">Phase 3: Scale</t>
  </si>
  <si>
    <t xml:space="preserve">Q1 2027</t>
  </si>
  <si>
    <t xml:space="preserve">Advanced PCF; supplier SBTi target engagement; circular economy design</t>
  </si>
  <si>
    <t xml:space="preserve">Annual supplier summits + ongoing upskilling</t>
  </si>
  <si>
    <t xml:space="preserve">~5,000+ tCO2e cumulative to 2030</t>
  </si>
  <si>
    <t xml:space="preserve">2030 SBTi Scope 3 target missed (−52% intensity)</t>
  </si>
  <si>
    <t xml:space="preserve">£3-5m in green partnership revenue uplift</t>
  </si>
  <si>
    <t xml:space="preserve">~55% of S3 gap</t>
  </si>
  <si>
    <t xml:space="preserve">R11</t>
  </si>
  <si>
    <t xml:space="preserve">Fan Engagement Scale-Up
(Green Action League + Islington)</t>
  </si>
  <si>
    <t xml:space="preserve">Marketing + Community + Commercial</t>
  </si>
  <si>
    <t xml:space="preserve">2027</t>
  </si>
  <si>
    <t xml:space="preserve">Ongoing</t>
  </si>
  <si>
    <t xml:space="preserve">Behaviour change design; sustainability communication; community resilience</t>
  </si>
  <si>
    <t xml:space="preserve">Behavioural science training + campaign management</t>
  </si>
  <si>
    <t xml:space="preserve">Influence lever; ~56,000 actions already logged</t>
  </si>
  <si>
    <t xml:space="preserve">Brand risk; loss of community leadership position</t>
  </si>
  <si>
    <t xml:space="preserve">£500k-1m co-funding from commercial partners</t>
  </si>
  <si>
    <t xml:space="preserve">Brand &amp; community</t>
  </si>
  <si>
    <t xml:space="preserve">R12</t>
  </si>
  <si>
    <t xml:space="preserve">Net Zero Buildings
(Hale End + Office retrofit)</t>
  </si>
  <si>
    <t xml:space="preserve">Operations + Finance + Procurement</t>
  </si>
  <si>
    <t xml:space="preserve">Building energy management; retrofit project management; low-carbon construction procurement</t>
  </si>
  <si>
    <t xml:space="preserve">Project management + green building upskilling</t>
  </si>
  <si>
    <t xml:space="preserve">~500-800 tCO2e</t>
  </si>
  <si>
    <t xml:space="preserve">2030 S1&amp;S2 target at risk</t>
  </si>
  <si>
    <t xml:space="preserve">£150-300k/yr energy savings</t>
  </si>
  <si>
    <t xml:space="preserve">~8%</t>
  </si>
  <si>
    <t xml:space="preserve">R13</t>
  </si>
  <si>
    <t xml:space="preserve">Residual Emission Offset Strategy
(High-quality removals)</t>
  </si>
  <si>
    <t xml:space="preserve">Finance + CxO + Legal</t>
  </si>
  <si>
    <t xml:space="preserve">Phase 4: Sustain</t>
  </si>
  <si>
    <t xml:space="preserve">2040</t>
  </si>
  <si>
    <t xml:space="preserve">Carbon market literacy; offset quality assessment; Article 6 carbon credits</t>
  </si>
  <si>
    <t xml:space="preserve">Finance + CxO specialist training</t>
  </si>
  <si>
    <t xml:space="preserve">Addresses residual 10% S1&amp;S2 + 3% S3 intensity</t>
  </si>
  <si>
    <t xml:space="preserve">Cannot claim net zero without credible offsets</t>
  </si>
  <si>
    <t xml:space="preserve">Protects net zero brand value</t>
  </si>
  <si>
    <t xml:space="preserve">Residual gap</t>
  </si>
  <si>
    <t xml:space="preserve">R14</t>
  </si>
  <si>
    <t xml:space="preserve">SBTi Annual Progress Reporting
+ Continuous Improvement</t>
  </si>
  <si>
    <t xml:space="preserve">All + ESG Director</t>
  </si>
  <si>
    <t xml:space="preserve">Annual</t>
  </si>
  <si>
    <t xml:space="preserve">GHG Protocol; materiality assessment; stakeholder reporting</t>
  </si>
  <si>
    <t xml:space="preserve">Annual team refresher + ESG director oversight</t>
  </si>
  <si>
    <t xml:space="preserve">Accountability + stakeholder trust</t>
  </si>
  <si>
    <t xml:space="preserve">SBTi withdrawal; regulatory exposure</t>
  </si>
  <si>
    <t xml:space="preserve">Brand leadership in sports sustainability</t>
  </si>
  <si>
    <t xml:space="preserve">Governance</t>
  </si>
  <si>
    <t xml:space="preserve">ARSENAL FC  |  RISK &amp; REWARD REGISTER  |  SKILLS INVESTMENT vs. NET ZERO OUTCOME</t>
  </si>
  <si>
    <t xml:space="preserve">Scenario</t>
  </si>
  <si>
    <t xml:space="preserve">Teams Impacted</t>
  </si>
  <si>
    <t xml:space="preserve">If Skills Gap NOT Closed</t>
  </si>
  <si>
    <t xml:space="preserve">Financial Risk (£)</t>
  </si>
  <si>
    <t xml:space="preserve">Emissions Risk (tCO2e)</t>
  </si>
  <si>
    <t xml:space="preserve">If Skills Gap IS Closed</t>
  </si>
  <si>
    <t xml:space="preserve">Financial Reward (£)</t>
  </si>
  <si>
    <t xml:space="preserve">Emissions Reward (tCO2e)</t>
  </si>
  <si>
    <t xml:space="preserve">Net Value (£)</t>
  </si>
  <si>
    <t xml:space="preserve">Timeline</t>
  </si>
  <si>
    <t xml:space="preserve">RR1</t>
  </si>
  <si>
    <t xml:space="preserve">SBTi Target Non-Compliance
(Scope 3 −52% by 2030)</t>
  </si>
  <si>
    <t xml:space="preserve">Procurement, Legal, Marketing, IT, CxO</t>
  </si>
  <si>
    <t xml:space="preserve">Arsenal misses 2030 Scope 3 intensity target. SBTi withdrawal of approved target. Reputational damage as 'first mover' turns into 'failed mover'.</t>
  </si>
  <si>
    <t xml:space="preserve">£2-5m reputational cost; loss of ESG-linked sponsorships; potential SLL covenant breach</t>
  </si>
  <si>
    <t xml:space="preserve">Up to 7,700 tCO2e above target</t>
  </si>
  <si>
    <t xml:space="preserve">Skills built in PCF, supplier engagement, legal clauses, IT data pipeline. Arsenal hits −52% S3 intensity by 2030.</t>
  </si>
  <si>
    <t xml:space="preserve">£3-8m new ESG partnership revenue; access to green finance at lower rates</t>
  </si>
  <si>
    <t xml:space="preserve">~5,200 tCO2e avoided</t>
  </si>
  <si>
    <t xml:space="preserve">£5-13m net value</t>
  </si>
  <si>
    <t xml:space="preserve">2025-2030</t>
  </si>
  <si>
    <t xml:space="preserve">RR2</t>
  </si>
  <si>
    <t xml:space="preserve">CSRD Non-Compliance
(EU Reporting Obligation)</t>
  </si>
  <si>
    <t xml:space="preserve">Legal, Finance, IT, CxO</t>
  </si>
  <si>
    <t xml:space="preserve">Failure to report under CSRD (applicable to Arsenal parent entity). Regulatory scrutiny. Loss of investor confidence.</t>
  </si>
  <si>
    <t xml:space="preserve">£500k-2m potential regulatory exposure; higher cost of capital</t>
  </si>
  <si>
    <t xml:space="preserve">Reporting gap: estimated 65% of S3 not measured</t>
  </si>
  <si>
    <t xml:space="preserve">CSRD-trained team delivers double materiality assessment, full disclosure, TCFD-aligned reporting.</t>
  </si>
  <si>
    <t xml:space="preserve">£200-500k green finance cost saving; regulatory goodwill</t>
  </si>
  <si>
    <t xml:space="preserve">Data quality improves to &lt;30% estimated</t>
  </si>
  <si>
    <t xml:space="preserve">£700k-2.5m net value</t>
  </si>
  <si>
    <t xml:space="preserve">2025-2026</t>
  </si>
  <si>
    <t xml:space="preserve">RR3</t>
  </si>
  <si>
    <t xml:space="preserve">Kit &amp; Licensed Products Carbon
Liability (Scope 3 Cat 11)</t>
  </si>
  <si>
    <t xml:space="preserve">Marketing, Procurement, IT, Legal</t>
  </si>
  <si>
    <t xml:space="preserve">No PCF for replica kit. Risk of Green Claims Code violation if sustainability claims made without evidence. Regulatory action from CMA.</t>
  </si>
  <si>
    <t xml:space="preserve">£500k-2m CMA penalty risk; partner contract risk with Adidas/JD Sports</t>
  </si>
  <si>
    <t xml:space="preserve">~2,200 tCO2e unreduced</t>
  </si>
  <si>
    <t xml:space="preserve">PCF built for kit; eco-label claims substantiated; Adidas/JD Sports sustainability clauses enforced.</t>
  </si>
  <si>
    <t xml:space="preserve">£1-3m in sustainability-linked kit deal premium; eco-conscious fan revenue uplift</t>
  </si>
  <si>
    <t xml:space="preserve">~2,200 tCO2e avoided</t>
  </si>
  <si>
    <t xml:space="preserve">£1.5-5m net value</t>
  </si>
  <si>
    <t xml:space="preserve">RR4</t>
  </si>
  <si>
    <t xml:space="preserve">Energy Cost Inflation
(S1 &amp; S2 optimisation failure)</t>
  </si>
  <si>
    <t xml:space="preserve">Operations, IT, Finance</t>
  </si>
  <si>
    <t xml:space="preserve">Emirates and training facilities remain sub-optimally managed. Energy costs increase with market volatility. Battery storage underutilised.</t>
  </si>
  <si>
    <t xml:space="preserve">£300-600k/yr excess energy cost vs optimised baseline</t>
  </si>
  <si>
    <t xml:space="preserve">~1,500 tCO2e above target (S1&amp;S2)</t>
  </si>
  <si>
    <t xml:space="preserve">ISO 50001-trained ops team; AI-optimised BMS; battery dispatch maximised; LED rollout complete.</t>
  </si>
  <si>
    <t xml:space="preserve">£200-400k/yr energy cost savings; 30% LED energy reduction</t>
  </si>
  <si>
    <t xml:space="preserve">~1,200 tCO2e avoided annually</t>
  </si>
  <si>
    <t xml:space="preserve">£1-3m net value (10-yr)</t>
  </si>
  <si>
    <t xml:space="preserve">2026-2027</t>
  </si>
  <si>
    <t xml:space="preserve">RR5</t>
  </si>
  <si>
    <t xml:space="preserve">Talent Attraction &amp; Retention
(ESG talent premium)</t>
  </si>
  <si>
    <t xml:space="preserve">HR, CxO, All</t>
  </si>
  <si>
    <t xml:space="preserve">Arsenal cannot attract or retain sustainability talent. ESG Director role risks becoming isolated. Green skills absent in key commercial/ops roles.</t>
  </si>
  <si>
    <t xml:space="preserve">£200-500k premium recruitment costs; ESG programme delivery risk</t>
  </si>
  <si>
    <t xml:space="preserve">All targets at delivery risk</t>
  </si>
  <si>
    <t xml:space="preserve">Green skills embedded in all senior roles; ESG KPIs in all performance reviews; GSIP programme delivered.</t>
  </si>
  <si>
    <t xml:space="preserve">£300-500k saved in specialist recruitment; internal talent pipeline built</t>
  </si>
  <si>
    <t xml:space="preserve">All pillars de-risked</t>
  </si>
  <si>
    <t xml:space="preserve">£500k-1m net value</t>
  </si>
  <si>
    <t xml:space="preserve">RR6</t>
  </si>
  <si>
    <t xml:space="preserve">Green Finance Opportunity
(Sustainability-Linked Loans)</t>
  </si>
  <si>
    <t xml:space="preserve">Finance, CxO, Legal</t>
  </si>
  <si>
    <t xml:space="preserve">Arsenal cannot access sustainability-linked loan terms (requires verified SBTi targets + CSRD reporting). Standard commercial rates apply.</t>
  </si>
  <si>
    <t xml:space="preserve">£500k-1.5m additional borrowing cost over 5-7yr loan term</t>
  </si>
  <si>
    <t xml:space="preserve">N/A</t>
  </si>
  <si>
    <t xml:space="preserve">Verified SBTi targets + CSRD reporting unlocks SLL with 10-25bps margin reduction on refinancing.</t>
  </si>
  <si>
    <t xml:space="preserve">£500k-1.5m interest saving over loan term</t>
  </si>
  <si>
    <t xml:space="preserve">£500k-1.5m net value</t>
  </si>
  <si>
    <t xml:space="preserve">2026</t>
  </si>
  <si>
    <t xml:space="preserve">RR7</t>
  </si>
  <si>
    <t xml:space="preserve">Supporter Trust &amp; Brand Leadership
(Fan Engagement)</t>
  </si>
  <si>
    <t xml:space="preserve">Marketing, Community, Commercial</t>
  </si>
  <si>
    <t xml:space="preserve">Green Action League fails to scale. Islington partnership stalls. Arsenal cedes 'most sustainable football club' positioning to rival clubs.</t>
  </si>
  <si>
    <t xml:space="preserve">£1-3m sponsorship opportunity cost; loss of ESG-motivated fan segment</t>
  </si>
  <si>
    <t xml:space="preserve">Fan travel: largest S3 source unmeasured</t>
  </si>
  <si>
    <t xml:space="preserve">Green fan engagement scaled globally. 56,000 actions → 200,000+ by 2028. Islington plan delivered.</t>
  </si>
  <si>
    <t xml:space="preserve">£1-2m partner co-funding unlocked; premium sponsorships from eco brands</t>
  </si>
  <si>
    <t xml:space="preserve">Fan travel modal shift: large but hard to quantify</t>
  </si>
  <si>
    <t xml:space="preserve">£2-5m net value</t>
  </si>
  <si>
    <t xml:space="preserve">NOTE ON RETAINER MODEL: All financial risks above are addressable through the Sustained Futures retainer engagement. A 3-year Foundation-to-Scale retainer (£360-540k total) protects against £7-9m in aggregate risk and unlocks £7-20m+ in value. See Sheet 10 for full commercial proposal.</t>
  </si>
  <si>
    <t xml:space="preserve">ARSENAL FC  |  DATA REQUIREMENTS REGISTER  |  WHAT MUST BE MEASURED TO DELIVER THE TARGETS</t>
  </si>
  <si>
    <t xml:space="preserve">Source: Arsenal Holdings Annual Report – 'approximately 65% of total emissions generated by estimation, almost entirely due to fan travel, employee commuting, supply chain and e-commerce freight' (Arsenal Holdings Ltd Annual Report)</t>
  </si>
  <si>
    <t xml:space="preserve">Data Category</t>
  </si>
  <si>
    <t xml:space="preserve">Emission Scope</t>
  </si>
  <si>
    <t xml:space="preserve">Current State</t>
  </si>
  <si>
    <t xml:space="preserve">Target State</t>
  </si>
  <si>
    <t xml:space="preserve">Owner</t>
  </si>
  <si>
    <t xml:space="preserve">Collection Method</t>
  </si>
  <si>
    <t xml:space="preserve">Tool / System</t>
  </si>
  <si>
    <t xml:space="preserve">Impact if Missing</t>
  </si>
  <si>
    <t xml:space="preserve">D1</t>
  </si>
  <si>
    <t xml:space="preserve">Site-level energy consumption
(Stadium, Training, Hale End, Offices)</t>
  </si>
  <si>
    <t xml:space="preserve">Measured (meters). Monthly bills. 35% of total.</t>
  </si>
  <si>
    <t xml:space="preserve">30-min interval data via BMS. Building-level breakdown.</t>
  </si>
  <si>
    <t xml:space="preserve">Operations + IT</t>
  </si>
  <si>
    <t xml:space="preserve">Smart metering API integration</t>
  </si>
  <si>
    <t xml:space="preserve">BMS platform (existing) + carbon platform</t>
  </si>
  <si>
    <t xml:space="preserve">Under-reporting S1&amp;S2; battery underoptimised</t>
  </si>
  <si>
    <t xml:space="preserve">D2</t>
  </si>
  <si>
    <t xml:space="preserve">F-gas / refrigerant logs
(Fugitive emissions)</t>
  </si>
  <si>
    <t xml:space="preserve">S1</t>
  </si>
  <si>
    <t xml:space="preserve">Manual logs. ~1,015 tCO2e in 2023.</t>
  </si>
  <si>
    <t xml:space="preserve">Digital log with auto-calculation of GWP</t>
  </si>
  <si>
    <t xml:space="preserve">Operations + Procurement</t>
  </si>
  <si>
    <t xml:space="preserve">Digital service records + EPC compliance</t>
  </si>
  <si>
    <t xml:space="preserve">BMS / CAFM system</t>
  </si>
  <si>
    <t xml:space="preserve">CSRD compliance; fugitive emissions underestimated</t>
  </si>
  <si>
    <t xml:space="preserve">D3</t>
  </si>
  <si>
    <t xml:space="preserve">Fleet fuel consumption
(Club vehicles + team transport)</t>
  </si>
  <si>
    <t xml:space="preserve">Partially tracked (fuel receipts)</t>
  </si>
  <si>
    <t xml:space="preserve">Full telematics data per vehicle</t>
  </si>
  <si>
    <t xml:space="preserve">Operations + Logistics</t>
  </si>
  <si>
    <t xml:space="preserve">Fleet telematics system</t>
  </si>
  <si>
    <t xml:space="preserve">Fleet management software</t>
  </si>
  <si>
    <t xml:space="preserve">Travel emission accuracy</t>
  </si>
  <si>
    <t xml:space="preserve">D4</t>
  </si>
  <si>
    <t xml:space="preserve">Supplier spend data
mapped to emission categories</t>
  </si>
  <si>
    <t xml:space="preserve">S3 Cat 1</t>
  </si>
  <si>
    <t xml:space="preserve">Spend-based estimates only (largest estimation gap)</t>
  </si>
  <si>
    <t xml:space="preserve">Primary activity data from top 20 suppliers by spend</t>
  </si>
  <si>
    <t xml:space="preserve">Procurement + Finance</t>
  </si>
  <si>
    <t xml:space="preserve">Supplier data requests + ERP integration</t>
  </si>
  <si>
    <t xml:space="preserve">Spend analytics tool + S3 platform</t>
  </si>
  <si>
    <t xml:space="preserve">65% estimation rate; SBTi Scope 3 credibility</t>
  </si>
  <si>
    <t xml:space="preserve">D5</t>
  </si>
  <si>
    <t xml:space="preserve">Kit &amp; merchandise material composition
(polyester %, recycled content, origin)</t>
  </si>
  <si>
    <t xml:space="preserve">S3 Cat 1 &amp; 11</t>
  </si>
  <si>
    <t xml:space="preserve">Unknown / not tracked</t>
  </si>
  <si>
    <t xml:space="preserve">Full material passport per SKU from Adidas and licensees</t>
  </si>
  <si>
    <t xml:space="preserve">Marketing + Procurement</t>
  </si>
  <si>
    <t xml:space="preserve">Supplier data request + PCF tool</t>
  </si>
  <si>
    <t xml:space="preserve">PCF platform (Carbonfact / Planetly)</t>
  </si>
  <si>
    <t xml:space="preserve">Cannot calculate kit PCF; greenwashing risk</t>
  </si>
  <si>
    <t xml:space="preserve">D6</t>
  </si>
  <si>
    <t xml:space="preserve">Employee commuting
(mode, distance, frequency)</t>
  </si>
  <si>
    <t xml:space="preserve">S3 Cat 7</t>
  </si>
  <si>
    <t xml:space="preserve">Estimated from postcode proximity. Not surveyed.</t>
  </si>
  <si>
    <t xml:space="preserve">Annual commuting survey + TfL API integration</t>
  </si>
  <si>
    <t xml:space="preserve">HR + IT</t>
  </si>
  <si>
    <t xml:space="preserve">Annual staff survey + optional TfL smart data</t>
  </si>
  <si>
    <t xml:space="preserve">Commuting carbon tool</t>
  </si>
  <si>
    <t xml:space="preserve">Commuting emissions estimated; S3 cat 7 gap</t>
  </si>
  <si>
    <t xml:space="preserve">D7</t>
  </si>
  <si>
    <t xml:space="preserve">Business travel
(flights, rail, hotel)</t>
  </si>
  <si>
    <t xml:space="preserve">S3 Cat 6</t>
  </si>
  <si>
    <t xml:space="preserve">~69 tCO2e (2023). Travel booking data.</t>
  </si>
  <si>
    <t xml:space="preserve">Full trip data from travel management system; class of travel included</t>
  </si>
  <si>
    <t xml:space="preserve">Operations + Finance</t>
  </si>
  <si>
    <t xml:space="preserve">Travel management company API</t>
  </si>
  <si>
    <t xml:space="preserve">T&amp;E platform (e.g. SAP Concur with carbon module)</t>
  </si>
  <si>
    <t xml:space="preserve">Small but measurable; CSRD disclosure</t>
  </si>
  <si>
    <t xml:space="preserve">D8</t>
  </si>
  <si>
    <t xml:space="preserve">Food &amp; beverage supply chain
(matchday catering)</t>
  </si>
  <si>
    <t xml:space="preserve">Estimated / minimal data</t>
  </si>
  <si>
    <t xml:space="preserve">Ingredient-level food PCF from catering supplier</t>
  </si>
  <si>
    <t xml:space="preserve">Logistics + Procurement</t>
  </si>
  <si>
    <t xml:space="preserve">Caterer data request + food PCF tool</t>
  </si>
  <si>
    <t xml:space="preserve">My Emissions / similar</t>
  </si>
  <si>
    <t xml:space="preserve">Matchday F&amp;B is meaningful S3 source</t>
  </si>
  <si>
    <t xml:space="preserve">D9</t>
  </si>
  <si>
    <t xml:space="preserve">Arsenal Direct delivery emissions
(e-commerce fulfilment)</t>
  </si>
  <si>
    <t xml:space="preserve">S3 Cat 9</t>
  </si>
  <si>
    <t xml:space="preserve">Estimated from parcel volume</t>
  </si>
  <si>
    <t xml:space="preserve">Carrier-provided emission factors per delivery</t>
  </si>
  <si>
    <t xml:space="preserve">Logistics + IT</t>
  </si>
  <si>
    <t xml:space="preserve">Courier API integration</t>
  </si>
  <si>
    <t xml:space="preserve">Last-mile carbon tracker</t>
  </si>
  <si>
    <t xml:space="preserve">E-commerce growth = growing S3 source</t>
  </si>
  <si>
    <t xml:space="preserve">D10</t>
  </si>
  <si>
    <t xml:space="preserve">Fan travel modal split
(matchday)</t>
  </si>
  <si>
    <t xml:space="preserve">S3 (outside SBTi scope)</t>
  </si>
  <si>
    <t xml:space="preserve">Survey-based. 95% sustainable travel claim.</t>
  </si>
  <si>
    <t xml:space="preserve">Annual fan travel survey + TfL entrance data</t>
  </si>
  <si>
    <t xml:space="preserve">Marketing + Community</t>
  </si>
  <si>
    <t xml:space="preserve">Matchday survey + TfL gate data</t>
  </si>
  <si>
    <t xml:space="preserve">Fan survey platform</t>
  </si>
  <si>
    <t xml:space="preserve">LOW / REPUTATIONAL</t>
  </si>
  <si>
    <t xml:space="preserve">Cannot substantiate 95% sustainable travel claim</t>
  </si>
  <si>
    <t xml:space="preserve">D11</t>
  </si>
  <si>
    <t xml:space="preserve">Waste &amp; recycling rates
(all sites + matchday)</t>
  </si>
  <si>
    <t xml:space="preserve">S3 Cat 5</t>
  </si>
  <si>
    <t xml:space="preserve">Partially tracked by waste contractor</t>
  </si>
  <si>
    <t xml:space="preserve">100% waste data by stream (recycling, composting, landfill, incineration) per site</t>
  </si>
  <si>
    <t xml:space="preserve">Waste contractor reporting + site weighbridges</t>
  </si>
  <si>
    <t xml:space="preserve">Waste management reporting portal</t>
  </si>
  <si>
    <t xml:space="preserve">Circular economy KPIs; CSRD waste disclosure</t>
  </si>
  <si>
    <t xml:space="preserve">D12</t>
  </si>
  <si>
    <t xml:space="preserve">Water consumption
(all sites)</t>
  </si>
  <si>
    <t xml:space="preserve">S1 (operational)</t>
  </si>
  <si>
    <t xml:space="preserve">Meter-read monthly</t>
  </si>
  <si>
    <t xml:space="preserve">Smart meter data + leak detection</t>
  </si>
  <si>
    <t xml:space="preserve">Smart water meters</t>
  </si>
  <si>
    <t xml:space="preserve">Utility portal</t>
  </si>
  <si>
    <t xml:space="preserve">LOW</t>
  </si>
  <si>
    <t xml:space="preserve">Water stress risk; TCFD physical risk</t>
  </si>
  <si>
    <t xml:space="preserve">D13</t>
  </si>
  <si>
    <t xml:space="preserve">SBTi intensity metric
(tCO2e per £1m revenue)</t>
  </si>
  <si>
    <t xml:space="preserve">Calculated annually in AR</t>
  </si>
  <si>
    <t xml:space="preserve">Quarterly tracked vs target</t>
  </si>
  <si>
    <t xml:space="preserve">Finance + ESG</t>
  </si>
  <si>
    <t xml:space="preserve">GHG data / revenue from management accounts</t>
  </si>
  <si>
    <t xml:space="preserve">Carbon + finance dashboard</t>
  </si>
  <si>
    <t xml:space="preserve">Cannot track SBTi progress in-year</t>
  </si>
  <si>
    <t xml:space="preserve">ARSENAL FC GSIP BLUEPRINT  |  SOURCES, METHODOLOGY &amp; ASSUMPTIONS</t>
  </si>
  <si>
    <t xml:space="preserve">SOURCE DOCUMENTS USED</t>
  </si>
  <si>
    <t xml:space="preserve">Document</t>
  </si>
  <si>
    <t xml:space="preserve">URL / Reference</t>
  </si>
  <si>
    <t xml:space="preserve">Date</t>
  </si>
  <si>
    <t xml:space="preserve">Arsenal FC – SBTi Net Zero Approval</t>
  </si>
  <si>
    <t xml:space="preserve">arsenal.com/news/arsenals-2040-net-zero-target-approved</t>
  </si>
  <si>
    <t xml:space="preserve">Arsenal Holdings Ltd Annual Report</t>
  </si>
  <si>
    <t xml:space="preserve">arsenal.com/media/472382/download</t>
  </si>
  <si>
    <t xml:space="preserve">2024</t>
  </si>
  <si>
    <t xml:space="preserve">Scope 1: 3.5m tCO2e; Scope 2: 2.1m tCO2e; Scope 3: 76.1% of total; 65% estimated; baseline FY2021/22</t>
  </si>
  <si>
    <t xml:space="preserve">Arsenal Environmental Impact Policy</t>
  </si>
  <si>
    <t xml:space="preserve">arsenal.com/news/sustainability</t>
  </si>
  <si>
    <t xml:space="preserve">Jul 2025 (last reviewed)</t>
  </si>
  <si>
    <t xml:space="preserve">EMS Group structure; procurement whole-life cost policy; environmental policy commitments</t>
  </si>
  <si>
    <t xml:space="preserve">Arsenal – How We Calculate Our Carbon Footprint</t>
  </si>
  <si>
    <t xml:space="preserve">arsenal.com/news/how-we-calculate-our-carbon-footprint</t>
  </si>
  <si>
    <t xml:space="preserve">Sustainability Magazine – Arsenal SBTi</t>
  </si>
  <si>
    <t xml:space="preserve">sustainabilitymag.com</t>
  </si>
  <si>
    <t xml:space="preserve">Nov 2024</t>
  </si>
  <si>
    <t xml:space="preserve">Energy decarb, travel, waste, supply chain pillars confirmed</t>
  </si>
  <si>
    <t xml:space="preserve">DitchCarbon – Arsenal Sustainability Report</t>
  </si>
  <si>
    <t xml:space="preserve">ditchcarbon.com/organizations/arsenal</t>
  </si>
  <si>
    <t xml:space="preserve">FY2022/23 emissions data: S1 3.5m, S2 2.1m, S3 ~69k tCO2e (partial)</t>
  </si>
  <si>
    <t xml:space="preserve">Greenly – PL Carbon Footprint Analysis</t>
  </si>
  <si>
    <t xml:space="preserve">greenly.earth</t>
  </si>
  <si>
    <t xml:space="preserve">Fan/player travel = 61% of PL club GHG emissions; Emirates battery storage confirmed</t>
  </si>
  <si>
    <t xml:space="preserve">SBTi Corporate Net-Zero Standard</t>
  </si>
  <si>
    <t xml:space="preserve">sciencebasedtargets.org</t>
  </si>
  <si>
    <t xml:space="preserve">Validation criteria; intensity metric approach; annual reporting requirements</t>
  </si>
  <si>
    <t xml:space="preserve">METHODOLOGY NOTES</t>
  </si>
  <si>
    <t xml:space="preserve">Item</t>
  </si>
  <si>
    <t xml:space="preserve">Detail</t>
  </si>
  <si>
    <t xml:space="preserve">Emission estimates</t>
  </si>
  <si>
    <t xml:space="preserve">All tCO2e figures are estimates based on publicly available Arsenal data, sector benchmarks, and GHG Protocol guidance. They are indicative order-of-magnitude figures for prioritisation purposes, not audited values.</t>
  </si>
  <si>
    <t xml:space="preserve">Maturity scoring</t>
  </si>
  <si>
    <t xml:space="preserve">1-5 scale: 1=No capability, 2=Awareness only, 3=Developing, 4=Proficient, 5=Leading. Scores are estimated from public information and typical industry benchmarks for similar-sized sports organisations.</t>
  </si>
  <si>
    <t xml:space="preserve">Financial risk/reward</t>
  </si>
  <si>
    <t xml:space="preserve">Ranges based on: green finance market data (SLL margin reductions), CMA enforcement precedents, ESG sponsorship market data, energy cost benchmarks for similar venues.</t>
  </si>
  <si>
    <t xml:space="preserve">Pareto application</t>
  </si>
  <si>
    <t xml:space="preserve">Top 3 interventions (I1 Kit Supply Chain + I2 Supplier Clauses + R6 Green Skills Programme) estimated to unlock ~80% of required Scope 3 intensity reduction. Based on emission category weighting in Arsenal's reported data.</t>
  </si>
  <si>
    <t xml:space="preserve">Scope 3 intensity metric</t>
  </si>
  <si>
    <t xml:space="preserve">KEY CONTACTS (Arsenal)</t>
  </si>
  <si>
    <t xml:space="preserve">Role</t>
  </si>
  <si>
    <t xml:space="preserve">Name</t>
  </si>
  <si>
    <t xml:space="preserve">Contact</t>
  </si>
  <si>
    <t xml:space="preserve">Director of ESG</t>
  </si>
  <si>
    <t xml:space="preserve">Hannah Mansour</t>
  </si>
  <si>
    <t xml:space="preserve">Arsenal ESG Team</t>
  </si>
  <si>
    <t xml:space="preserve">Operational Sustainability Manager</t>
  </si>
  <si>
    <t xml:space="preserve">Managing Director</t>
  </si>
  <si>
    <t xml:space="preserve">Richard Garlick</t>
  </si>
  <si>
    <t xml:space="preserve">Arsenal Executive Team</t>
  </si>
  <si>
    <t xml:space="preserve">SUSTAINED FUTURES BLUEPRINT NOTE</t>
  </si>
  <si>
    <t xml:space="preserve">Purpose</t>
  </si>
  <si>
    <t xml:space="preserve">This blueprint serves as Sustained Futures' replicable client engagement framework. The GSIP methodology maps: (1) ESG targets to functional team responsibilities; (2) skills gaps to specific capabilities; (3) interdependencies to show unlock logic; (4) a time horizon with Pareto prioritisation; (5) risk/reward in financial terms. It can be adapted to any organisation with SBTi or ESG targets within 2-4 weeks using publicly available data + a 2-hour client workshop to validate assumptions.</t>
  </si>
  <si>
    <t xml:space="preserve">Next Steps for Client Engagement</t>
  </si>
  <si>
    <t xml:space="preserve">(1) Share this blueprint with Arsenal ESG team for validation. (2) Run 2-hr workshop with HR, Procurement, Legal, IT to validate maturity scores. (3) Agree priority sequencing with CxO. (4) Scope Sustained Futures green skills programme delivery (starting with Legal + Procurement + Marketing PCF training). (5) Establish quarterly progress review cadence.</t>
  </si>
  <si>
    <t xml:space="preserve">ARSENAL FC  |  PHASE 1 PRIORITY DELIVERY PLAN  |  LEGAL + PROCUREMENT FIRST  |  Q1 2025 – Q4 2026</t>
  </si>
  <si>
    <t xml:space="preserve">PARETO RATIONALE: Legal + Procurement upskilling unlocks the contractual and data foundation for ALL Scope 3 reduction. Without climate clauses and supplier data, ~76% of Arsenal's emissions cannot be legally engaged or accurately measured.</t>
  </si>
  <si>
    <t xml:space="preserve">WHY LEGAL + PROCUREMENT FIRST?  |  THE UNLOCK LOGIC</t>
  </si>
  <si>
    <t xml:space="preserve">Arsenal's Scope 3 = 76.1% of total emissions</t>
  </si>
  <si>
    <t xml:space="preserve">All of it sits in the value chain. Legal and Procurement are the only teams who can contractually bind it.</t>
  </si>
  <si>
    <t xml:space="preserve">65% of emissions currently estimated</t>
  </si>
  <si>
    <t xml:space="preserve">Until suppliers report data, Arsenal is guessing. Procurement must mandate data disclosure. Legal must make it contractually enforceable.</t>
  </si>
  <si>
    <t xml:space="preserve">Adidas kit + licensed products = single largest S3 Cat 1 &amp; 11 source</t>
  </si>
  <si>
    <t xml:space="preserve">Marketing cannot act on this without Procurement embedding PCF requirements into the Adidas/JD Sports contracts. Legal must draft the clause.</t>
  </si>
  <si>
    <t xml:space="preserve">SBTi Scope 3 intensity target: −52% by 2030</t>
  </si>
  <si>
    <t xml:space="preserve">That is 4 years away. The contractual cycle for major supplier contracts is 2-3 years. If clauses are not drafted in 2025, the 2030 target is structurally at risk.</t>
  </si>
  <si>
    <t xml:space="preserve">CSRD double materiality deadline approaching</t>
  </si>
  <si>
    <t xml:space="preserve">Legal must lead the materiality assessment. Procurement data is the primary input. Both teams need capability NOW.</t>
  </si>
  <si>
    <t xml:space="preserve">SPRINT-BY-SPRINT DELIVERY PLAN  |  LEGAL + PROCUREMENT PROGRAMME</t>
  </si>
  <si>
    <t xml:space="preserve">Sprint</t>
  </si>
  <si>
    <t xml:space="preserve">Period</t>
  </si>
  <si>
    <t xml:space="preserve">Focus</t>
  </si>
  <si>
    <t xml:space="preserve">Teams</t>
  </si>
  <si>
    <t xml:space="preserve">Green Skills Delivered</t>
  </si>
  <si>
    <t xml:space="preserve">Digital/AI Skills Delivered</t>
  </si>
  <si>
    <t xml:space="preserve">Key Output / Milestone</t>
  </si>
  <si>
    <t xml:space="preserve">Success Metric</t>
  </si>
  <si>
    <t xml:space="preserve">Sustained Futures Workstream</t>
  </si>
  <si>
    <t xml:space="preserve">Sprint 0
(Foundation)</t>
  </si>
  <si>
    <t xml:space="preserve">Q1 2025
(Wks 1-4)</t>
  </si>
  <si>
    <t xml:space="preserve">GSIP Skills Baseline Assessment</t>
  </si>
  <si>
    <t xml:space="preserve">HR + Legal + Procurement + CxO</t>
  </si>
  <si>
    <t xml:space="preserve">Climate literacy baseline (all 3 teams scored 1-2/5);
Scope 1/2/3 awareness</t>
  </si>
  <si>
    <t xml:space="preserve">None yet</t>
  </si>
  <si>
    <t xml:space="preserve">Skills gap report with maturity scores per role;
Board briefing pack for CxO</t>
  </si>
  <si>
    <t xml:space="preserve">Maturity scores documented; CxO mandate issued;
Internal carbon price agreed (shadow: £100/tCO2e)</t>
  </si>
  <si>
    <t xml:space="preserve">GSIP Assessment Module</t>
  </si>
  <si>
    <t xml:space="preserve">Sprint 1</t>
  </si>
  <si>
    <t xml:space="preserve">Q2 2025
(Wks 5-10)</t>
  </si>
  <si>
    <t xml:space="preserve">Climate Contract Law &amp;
Scope 3 Legal Framework</t>
  </si>
  <si>
    <t xml:space="preserve">Legal (primary) + Procurement</t>
  </si>
  <si>
    <t xml:space="preserve">GHG Protocol Scope 3 categories;
Climate-related legal risk;
CSRD double materiality basics</t>
  </si>
  <si>
    <t xml:space="preserve">CSRD data requirements and reporting platforms (intro)</t>
  </si>
  <si>
    <t xml:space="preserve">Standard climate clause library (5 clause types);
First 3 supplier contracts flagged for renewal with climate clauses</t>
  </si>
  <si>
    <t xml:space="preserve">Clause library signed off by General Counsel;
2+ contracts in renegotiation pipeline</t>
  </si>
  <si>
    <t xml:space="preserve">Green Skills Programme: Legal Module</t>
  </si>
  <si>
    <t xml:space="preserve">Sprint 2</t>
  </si>
  <si>
    <t xml:space="preserve">Q3 2025
(Wks 11-18)</t>
  </si>
  <si>
    <t xml:space="preserve">Scope 3 Supplier Engagement &amp;
PCF Basics for Procurement</t>
  </si>
  <si>
    <t xml:space="preserve">Procurement (primary) + Legal</t>
  </si>
  <si>
    <t xml:space="preserve">Supplier carbon engagement methodology;
Spend-based Scope 3 estimation;
PCF interpretation (not building yet)</t>
  </si>
  <si>
    <t xml:space="preserve">Supplier data platforms (EcoVadis/Sedex intro);
Spend analytics for S3 categorisation</t>
  </si>
  <si>
    <t xml:space="preserve">Top 20 suppliers by spend mapped to S3 category;
Data disclosure request issued to top 5</t>
  </si>
  <si>
    <t xml:space="preserve">5 suppliers respond with emission data;
% estimated S3 begins to fall</t>
  </si>
  <si>
    <t xml:space="preserve">Green Skills Programme: Procurement Module</t>
  </si>
  <si>
    <t xml:space="preserve">Sprint 3</t>
  </si>
  <si>
    <t xml:space="preserve">Q4 2025
(Wks 19-26)</t>
  </si>
  <si>
    <t xml:space="preserve">Supplier Negotiation Simulation &amp;
Climate Clause Enforcement</t>
  </si>
  <si>
    <t xml:space="preserve">Legal + Procurement (joint)</t>
  </si>
  <si>
    <t xml:space="preserve">Supplier negotiation with climate criteria;
Whole-life cost + carbon pricing in decisions</t>
  </si>
  <si>
    <t xml:space="preserve">Supplier data intake process (manual + API-light)</t>
  </si>
  <si>
    <t xml:space="preserve">Joint Legal-Procurement playbook;
First SBTi-aligned supplier target requested (pilot: 1 supplier)</t>
  </si>
  <si>
    <t xml:space="preserve">1 supplier commits to SBTi target;
Joint playbook approved by Procurement Director</t>
  </si>
  <si>
    <t xml:space="preserve">Interdependency Workshop (I1 + I2)</t>
  </si>
  <si>
    <t xml:space="preserve">Sprint 4</t>
  </si>
  <si>
    <t xml:space="preserve">Q1 2026
(Wks 27-34)</t>
  </si>
  <si>
    <t xml:space="preserve">Kit PCF Programme Launch
(Marketing joins)</t>
  </si>
  <si>
    <t xml:space="preserve">Product Carbon Footprinting (PAS 2050 / GHG Protocol);
Eco-labelling and Green Claims Code compliance</t>
  </si>
  <si>
    <t xml:space="preserve">PCF data pipeline scoping;
Supplier API data intake design</t>
  </si>
  <si>
    <t xml:space="preserve">PCF calculated for Arsenal replica kit (Adidas data requested);
Green Claims Code compliance checklist</t>
  </si>
  <si>
    <t xml:space="preserve">Kit PCF within 20% accuracy;
No misleading sustainability claims in marketing</t>
  </si>
  <si>
    <t xml:space="preserve">PCF Skills Module (Marketing joins programme)</t>
  </si>
  <si>
    <t xml:space="preserve">Sprint 5</t>
  </si>
  <si>
    <t xml:space="preserve">Q2-Q4 2026
(Wks 35-52)</t>
  </si>
  <si>
    <t xml:space="preserve">Scale &amp; Embed:
CSRD Readiness + Supplier Summit</t>
  </si>
  <si>
    <t xml:space="preserve">All Phase 1 teams + Finance + IT</t>
  </si>
  <si>
    <t xml:space="preserve">CSRD double materiality assessment;
TCFD scenario analysis (intro)</t>
  </si>
  <si>
    <t xml:space="preserve">Carbon reporting dashboard (Power BI or similar);
Supplier data API integration (IT-led)</t>
  </si>
  <si>
    <t xml:space="preserve">Annual Supplier Sustainability Summit (Arsenal hosts);
CSRD double materiality assessment published;
Scope 3 estimated % reduced from 65% to &lt;45%</t>
  </si>
  <si>
    <t xml:space="preserve">CSRD assessment complete;
S3 data quality improving;
SBTi annual report on track</t>
  </si>
  <si>
    <t xml:space="preserve">CSRD Readiness Module + IT Data Sprint</t>
  </si>
  <si>
    <t xml:space="preserve">ROLE-LEVEL UPSKILLING REQUIREMENTS  |  LEGAL + PROCUREMENT</t>
  </si>
  <si>
    <t xml:space="preserve">Current Green Skills</t>
  </si>
  <si>
    <t xml:space="preserve">Skills to Build by Q4 2025</t>
  </si>
  <si>
    <t xml:space="preserve">Skills to Build by Q4 2026</t>
  </si>
  <si>
    <t xml:space="preserve">Hours Investment</t>
  </si>
  <si>
    <t xml:space="preserve">Est. Cost (external training)</t>
  </si>
  <si>
    <t xml:space="preserve">General Counsel / Head of Legal</t>
  </si>
  <si>
    <t xml:space="preserve">Low (1/5): aware of basic ESG requirements</t>
  </si>
  <si>
    <t xml:space="preserve">Climate contract law; CSRD materiality; TCFD risk basics</t>
  </si>
  <si>
    <t xml:space="preserve">Advanced CSRD disclosure; ESG litigation risk; Article 6 carbon markets</t>
  </si>
  <si>
    <t xml:space="preserve">Executive briefing (0.5 day) + external CPD</t>
  </si>
  <si>
    <t xml:space="preserve">8-12 hrs/year</t>
  </si>
  <si>
    <t xml:space="preserve">£2,000-4,000/person</t>
  </si>
  <si>
    <t xml:space="preserve">Commercial Contracts Lawyer(s)</t>
  </si>
  <si>
    <t xml:space="preserve">Low (1/5)</t>
  </si>
  <si>
    <t xml:space="preserve">GHG Protocol Scope 3 basics; climate clause drafting; supplier due diligence</t>
  </si>
  <si>
    <t xml:space="preserve">PCF interpretation; CSRD supply chain reporting obligations</t>
  </si>
  <si>
    <t xml:space="preserve">Green Skills Programme Sprint 1 + CPD</t>
  </si>
  <si>
    <t xml:space="preserve">20-30 hrs</t>
  </si>
  <si>
    <t xml:space="preserve">£3,000-5,000/person</t>
  </si>
  <si>
    <t xml:space="preserve">Compliance / Risk</t>
  </si>
  <si>
    <t xml:space="preserve">CSRD double materiality; TCFD physical + transition risk</t>
  </si>
  <si>
    <t xml:space="preserve">CSRD reporting; regulatory horizon scanning</t>
  </si>
  <si>
    <t xml:space="preserve">CSRD training programme (external)</t>
  </si>
  <si>
    <t xml:space="preserve">16-24 hrs</t>
  </si>
  <si>
    <t xml:space="preserve">£2,500-4,000/person</t>
  </si>
  <si>
    <t xml:space="preserve">Chief Procurement Officer / Head of Procurement</t>
  </si>
  <si>
    <t xml:space="preserve">Low (1/5): aware of sustainability purchasing</t>
  </si>
  <si>
    <t xml:space="preserve">Scope 3 Category 1 basics; whole-life cost + carbon pricing; supplier engagement strategy</t>
  </si>
  <si>
    <t xml:space="preserve">Supplier SBTi target engagement; PCF interpretation; circular procurement</t>
  </si>
  <si>
    <t xml:space="preserve">Executive briefing + Sprint 2 programme</t>
  </si>
  <si>
    <t xml:space="preserve">12-16 hrs</t>
  </si>
  <si>
    <t xml:space="preserve">£2,000-3,000/person</t>
  </si>
  <si>
    <t xml:space="preserve">Category Managers (Kit, F&amp;B, Facilities, Logistics)</t>
  </si>
  <si>
    <t xml:space="preserve">Very Low (1/5)</t>
  </si>
  <si>
    <t xml:space="preserve">Scope 3 emissions by category; supplier carbon questionnaire design; spend-based estimation</t>
  </si>
  <si>
    <t xml:space="preserve">PCF data collection; EcoVadis scoring; climate clause negotiation</t>
  </si>
  <si>
    <t xml:space="preserve">Green Skills Programme Sprints 2+3</t>
  </si>
  <si>
    <t xml:space="preserve">30-40 hrs</t>
  </si>
  <si>
    <t xml:space="preserve">Procurement Analyst(s)</t>
  </si>
  <si>
    <t xml:space="preserve">Spend data mapping to S3 categories; emission factor databases; basic carbon calculation</t>
  </si>
  <si>
    <t xml:space="preserve">Supplier data intake systems; ERP-to-carbon platform integration</t>
  </si>
  <si>
    <t xml:space="preserve">Sprint 2 + IT co-training</t>
  </si>
  <si>
    <t xml:space="preserve">£2,000-3,500/person</t>
  </si>
  <si>
    <t xml:space="preserve">SUSTAINED FUTURES  |  COMMERCIAL PROPOSAL  |  ARSENAL FC NET ZERO SKILLS PROGRAMME</t>
  </si>
  <si>
    <t xml:space="preserve">Retainer Engagement Model  |  Prepared for: Arsenal FC ESG Team  |  Date: March 2026  |  Confidential</t>
  </si>
  <si>
    <t xml:space="preserve">THE CHALLENGE</t>
  </si>
  <si>
    <t xml:space="preserve">Arsenal FC is the world's first football club with an SBTi-approved net zero target. The ambition is set. The regulatory clock is ticking (CSRD). The target is public and validated.</t>
  </si>
  <si>
    <t xml:space="preserve">The gap is not strategy — it is execution capability. The teams who must deliver the targets (Legal, Procurement, Marketing, Operations, Finance, IT, HR) do not yet have the green skills, digital tools, or data infrastructure to act.</t>
  </si>
  <si>
    <t xml:space="preserve">76.1% of Arsenal's emissions sit in Scope 3 — the value chain — where 65% of data is currently estimated. Without upskilling Legal and Procurement in 2025, the contractual and data foundation for Scope 3 reduction cannot be built in time for the 2030 target.</t>
  </si>
  <si>
    <t xml:space="preserve">Sustained Futures exists to close this gap: translating ESG ambition into workforce capability, at pace, with measurable outcomes.</t>
  </si>
  <si>
    <t xml:space="preserve">WHAT SUSTAINED FUTURES DELIVERS</t>
  </si>
  <si>
    <t xml:space="preserve">1. GSIP Skills Assessment</t>
  </si>
  <si>
    <t xml:space="preserve">Green Skills Intelligence Platform baseline assessment across all 10 functional teams. Maps current maturity (1-5), target maturity, skills gaps, and role-level upskilling priorities. Delivered as this Blueprint — adapted to your specific organisational structure in a 2-hour validation workshop.</t>
  </si>
  <si>
    <t xml:space="preserve">2-4 weeks</t>
  </si>
  <si>
    <t xml:space="preserve">Key Output</t>
  </si>
  <si>
    <t xml:space="preserve">Foundation for all other workstreams</t>
  </si>
  <si>
    <t xml:space="preserve">2. Green Skills Programme: Legal + Procurement Module (Phase 1)</t>
  </si>
  <si>
    <t xml:space="preserve">6-sprint structured upskilling programme covering: climate contract law, CSRD/TCFD compliance, Scope 3 supplier engagement, PCF basics, whole-life cost + carbon pricing, and a joint Legal-Procurement playbook. Delivered as workshops, e-learning modules, and live supplier negotiation simulations.</t>
  </si>
  <si>
    <t xml:space="preserve">6-12 months</t>
  </si>
  <si>
    <t xml:space="preserve">Climate clauses in contracts; supplier data flowing; S3 data quality improving</t>
  </si>
  <si>
    <t xml:space="preserve">3. Green Skills Programme: Marketing + IT Module (Phase 2)</t>
  </si>
  <si>
    <t xml:space="preserve">Product Carbon Footprinting (PCF) for kit and merchandise. Sustainable e-commerce logistics. AI/data tools for supplier carbon data pipeline. Fan engagement design (Green Action League scale-up).</t>
  </si>
  <si>
    <t xml:space="preserve">12-18 months</t>
  </si>
  <si>
    <t xml:space="preserve">Kit PCF built; supplier data pipeline live; fan engagement scaling</t>
  </si>
  <si>
    <t xml:space="preserve">4. ESG Reporting &amp; CSRD Readiness Support</t>
  </si>
  <si>
    <t xml:space="preserve">Support the Finance and Legal teams to deliver CSRD double materiality assessment, TCFD risk scenario analysis, and SBTi annual progress reporting. Includes data architecture recommendations and tool selection support.</t>
  </si>
  <si>
    <t xml:space="preserve">Ongoing (quarterly)</t>
  </si>
  <si>
    <t xml:space="preserve">CSRD-compliant reporting; SBTi annual report on track; green finance accessed</t>
  </si>
  <si>
    <t xml:space="preserve">5. Annual Progress Review &amp; Roadmap Update</t>
  </si>
  <si>
    <t xml:space="preserve">Quarterly retainer check-ins with ESG Director and team leads. Annual skills reassessment (GSIP re-score). Roadmap refresh as regulations evolve (SBTi updates, CSRD amendments, UK TCFD changes). Sustained Futures horizon-scans so Arsenal does not have to.</t>
  </si>
  <si>
    <t xml:space="preserve">Quarterly cadence</t>
  </si>
  <si>
    <t xml:space="preserve">Continuous improvement; roadmap stays live; Arsenal retains leadership position</t>
  </si>
  <si>
    <t xml:space="preserve">RETAINER ENGAGEMENT MODEL  |  PRICING STRUCTURE</t>
  </si>
  <si>
    <t xml:space="preserve">Retainer Tier</t>
  </si>
  <si>
    <t xml:space="preserve">Monthly Retainer
(indicative)</t>
  </si>
  <si>
    <t xml:space="preserve">Annual Value</t>
  </si>
  <si>
    <t xml:space="preserve">Workstreams Included</t>
  </si>
  <si>
    <t xml:space="preserve">Client ROI Basis</t>
  </si>
  <si>
    <t xml:space="preserve">FOUNDATION
(Year 1)</t>
  </si>
  <si>
    <t xml:space="preserve">GSIP Assessment + Phase 1 Legal &amp; Procurement Programme (Sprints 0-3)</t>
  </si>
  <si>
    <t xml:space="preserve">£8,000-12,000/month</t>
  </si>
  <si>
    <t xml:space="preserve">£96,000-£144,000</t>
  </si>
  <si>
    <t xml:space="preserve">GSIP assessment; Legal module; Procurement module; Sprint facilitation; Progress reporting</t>
  </si>
  <si>
    <t xml:space="preserve">Unlocks ~£500k-2m in avoided CSRD/CMA risk; supplier contract savings; green finance premium access</t>
  </si>
  <si>
    <t xml:space="preserve">BUILD
(Year 2)</t>
  </si>
  <si>
    <t xml:space="preserve">Phase 2 Marketing + IT + Ongoing Legal/Procurement embedding</t>
  </si>
  <si>
    <t xml:space="preserve">£10,000-15,000/month</t>
  </si>
  <si>
    <t xml:space="preserve">£120,000-£180,000</t>
  </si>
  <si>
    <t xml:space="preserve">PCF programme; IT data pipeline advisory; CSRD readiness; Quarterly reviews</t>
  </si>
  <si>
    <t xml:space="preserve">Unlocks ~£1-3m kit/partnership revenue uplift; data quality improvement; SBTi progress on track</t>
  </si>
  <si>
    <t xml:space="preserve">SCALE
(Year 3+)</t>
  </si>
  <si>
    <t xml:space="preserve">Full programme across all 10 teams + annual GSIP refresh + SBTi reporting support</t>
  </si>
  <si>
    <t xml:space="preserve">£12,000-18,000/month</t>
  </si>
  <si>
    <t xml:space="preserve">£144,000-£216,000</t>
  </si>
  <si>
    <t xml:space="preserve">All modules; annual skills reassessment; SBTi annual report support; supplier summit design</t>
  </si>
  <si>
    <t xml:space="preserve">Protects ~£3-8m net zero brand value; secures leadership position in sports sustainability</t>
  </si>
  <si>
    <t xml:space="preserve">CLIENT ROI SUMMARY  |  SUSTAINED FUTURES RETAINER vs. NET ZERO DELIVERY RISK</t>
  </si>
  <si>
    <t xml:space="preserve">Without SF Retainer (Risk)</t>
  </si>
  <si>
    <t xml:space="preserve">With SF Retainer (Reward)</t>
  </si>
  <si>
    <t xml:space="preserve">Net Value to Arsenal</t>
  </si>
  <si>
    <t xml:space="preserve">SF 3-Year Retainer Cost</t>
  </si>
  <si>
    <t xml:space="preserve">ROI Multiple</t>
  </si>
  <si>
    <t xml:space="preserve">SBTi Scope 3 Non-Compliance</t>
  </si>
  <si>
    <t xml:space="preserve">£2-5m reputational + sponsorship loss; SBTi withdrawal</t>
  </si>
  <si>
    <t xml:space="preserve">Hits −52% intensity target by 2030; retains world's first SBTi-approved football club status</t>
  </si>
  <si>
    <t xml:space="preserve">£5-13m value protected/created</t>
  </si>
  <si>
    <t xml:space="preserve">£360-540k (3yr)</t>
  </si>
  <si>
    <t xml:space="preserve">10-25x ROI</t>
  </si>
  <si>
    <t xml:space="preserve">CSRD Non-Compliance</t>
  </si>
  <si>
    <t xml:space="preserve">£500k-2m regulatory exposure; higher cost of capital</t>
  </si>
  <si>
    <t xml:space="preserve">Full CSRD disclosure; access to green finance (SLL)</t>
  </si>
  <si>
    <t xml:space="preserve">£700k-2.5m saved</t>
  </si>
  <si>
    <t xml:space="preserve">2-5x ROI</t>
  </si>
  <si>
    <t xml:space="preserve">Kit &amp; Merchandise PCF Liability</t>
  </si>
  <si>
    <t xml:space="preserve">£500k-2m CMA risk; greenwashing exposure</t>
  </si>
  <si>
    <t xml:space="preserve">PCF built; eco-claims substantiated; Adidas clauses enforced</t>
  </si>
  <si>
    <t xml:space="preserve">£1.5-5m value protected</t>
  </si>
  <si>
    <t xml:space="preserve">4-10x ROI</t>
  </si>
  <si>
    <t xml:space="preserve">TOTAL AGGREGATE ROI</t>
  </si>
  <si>
    <t xml:space="preserve">Up to £7-9m at risk without action</t>
  </si>
  <si>
    <t xml:space="preserve">£7-20m+ value created/protected</t>
  </si>
  <si>
    <t xml:space="preserve">£7-20m</t>
  </si>
  <si>
    <t xml:space="preserve">~20-40x ROI</t>
  </si>
  <si>
    <t xml:space="preserve">PROPOSED NEXT STEPS</t>
  </si>
  <si>
    <t xml:space="preserve">Step 1 — Workshop (2 hrs)</t>
  </si>
  <si>
    <t xml:space="preserve">Share this Blueprint with Hannah Mansour (ESG Director) and key team leads (Legal, Procurement, HR). Validate maturity scores and priority sequencing. Agree CxO mandate.</t>
  </si>
  <si>
    <t xml:space="preserve">Timing</t>
  </si>
  <si>
    <t xml:space="preserve">March 2026</t>
  </si>
  <si>
    <t xml:space="preserve">Step 2 — GSIP Assessment Kick-Off</t>
  </si>
  <si>
    <t xml:space="preserve">Sustained Futures conducts role-level skills gap interviews across Legal (3 roles) and Procurement (4 roles). Produces validated maturity scorecard and Sprint 0 report.</t>
  </si>
  <si>
    <t xml:space="preserve">April 2026</t>
  </si>
  <si>
    <t xml:space="preserve">Step 3 — Retainer Agreement</t>
  </si>
  <si>
    <t xml:space="preserve">Agree Foundation Tier retainer (£8-12k/month). Define success metrics, quarterly review cadence, and Sprint 1 start date.</t>
  </si>
  <si>
    <t xml:space="preserve">April-May 2026</t>
  </si>
  <si>
    <t xml:space="preserve">Step 4 — Sprint 1 Delivery (Legal Module)</t>
  </si>
  <si>
    <t xml:space="preserve">Climate contract law workshop. CSRD basics. Climate clause library first draft. Review with General Counsel.</t>
  </si>
  <si>
    <t xml:space="preserve">May-June 2026</t>
  </si>
  <si>
    <t xml:space="preserve">Step 5 — Ongoing Retainer Cadence</t>
  </si>
  <si>
    <t xml:space="preserve">Monthly delivery sessions + quarterly progress reviews + annual GSIP re-score. Sustained Futures becomes Arsenal's embedded green skills partner.</t>
  </si>
  <si>
    <t xml:space="preserve">Sustained Futures  |  This proposal is based on publicly available Arsenal FC ESG data, SBTi validation documents, and Arsenal Holdings Annual Report. All financial estimates are indicative ranges for discussion purposes. Sustained Futures | sustainedfutures.com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</si>
</sst>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i val="true"/>
      <sz val="10"/>
      <color rgb="FF1F293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i val="true"/>
      <sz val="9"/>
      <color rgb="FF1F2937"/>
      <name val="Arial"/>
      <family val="0"/>
      <charset val="1"/>
    </font>
    <font>
      <i val="true"/>
      <sz val="9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color rgb="FF9B1C1C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1F2937"/>
      <name val="Arial"/>
      <family val="0"/>
      <charset val="1"/>
    </font>
    <font>
      <b val="true"/>
      <sz val="10"/>
      <color rgb="FFCA8A04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sz val="9"/>
      <color rgb="FF14532D"/>
      <name val="Arial"/>
      <family val="0"/>
      <charset val="1"/>
    </font>
    <font>
      <sz val="10"/>
      <color rgb="FF14532D"/>
      <name val="Arial"/>
      <family val="0"/>
      <charset val="1"/>
    </font>
    <font>
      <i val="true"/>
      <sz val="8"/>
      <color rgb="FFFFFFFF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9B1C1C"/>
        <bgColor rgb="FF800000"/>
      </patternFill>
    </fill>
    <fill>
      <patternFill patternType="solid">
        <fgColor rgb="FF374151"/>
        <bgColor rgb="FF1E3A8A"/>
      </patternFill>
    </fill>
    <fill>
      <patternFill patternType="solid">
        <fgColor rgb="FFFEF9C3"/>
        <bgColor rgb="FFFFF7ED"/>
      </patternFill>
    </fill>
    <fill>
      <patternFill patternType="solid">
        <fgColor rgb="FFEA580C"/>
        <bgColor rgb="FFDC2626"/>
      </patternFill>
    </fill>
    <fill>
      <patternFill patternType="solid">
        <fgColor rgb="FFFFFFFF"/>
        <bgColor rgb="FFFFF7ED"/>
      </patternFill>
    </fill>
    <fill>
      <patternFill patternType="solid">
        <fgColor rgb="FF2563EB"/>
        <bgColor rgb="FF0066CC"/>
      </patternFill>
    </fill>
    <fill>
      <patternFill patternType="solid">
        <fgColor rgb="FFF3F4F6"/>
        <bgColor rgb="FFFFF7ED"/>
      </patternFill>
    </fill>
    <fill>
      <patternFill patternType="solid">
        <fgColor rgb="FFDCFCE7"/>
        <bgColor rgb="FFD1FAE5"/>
      </patternFill>
    </fill>
    <fill>
      <patternFill patternType="solid">
        <fgColor rgb="FFFEE2E2"/>
        <bgColor rgb="FFEDE9FE"/>
      </patternFill>
    </fill>
    <fill>
      <patternFill patternType="solid">
        <fgColor rgb="FFFFF7ED"/>
        <bgColor rgb="FFF3F4F6"/>
      </patternFill>
    </fill>
    <fill>
      <patternFill patternType="solid">
        <fgColor rgb="FFDBEAFE"/>
        <bgColor rgb="FFEDE9FE"/>
      </patternFill>
    </fill>
    <fill>
      <patternFill patternType="solid">
        <fgColor rgb="FFEDE9FE"/>
        <bgColor rgb="FFF3F4F6"/>
      </patternFill>
    </fill>
    <fill>
      <patternFill patternType="solid">
        <fgColor rgb="FFCA8A04"/>
        <bgColor rgb="FF808000"/>
      </patternFill>
    </fill>
    <fill>
      <patternFill patternType="solid">
        <fgColor rgb="FFFED7AA"/>
        <bgColor rgb="FFFEE2E2"/>
      </patternFill>
    </fill>
    <fill>
      <patternFill patternType="solid">
        <fgColor rgb="FFD1FAE5"/>
        <bgColor rgb="FFDCFCE7"/>
      </patternFill>
    </fill>
    <fill>
      <patternFill patternType="solid">
        <fgColor rgb="FFDC2626"/>
        <bgColor rgb="FF9B1C1C"/>
      </patternFill>
    </fill>
    <fill>
      <patternFill patternType="solid">
        <fgColor rgb="FF1E3A8A"/>
        <bgColor rgb="FF003366"/>
      </patternFill>
    </fill>
    <fill>
      <patternFill patternType="solid">
        <fgColor rgb="FF14532D"/>
        <bgColor rgb="FF374151"/>
      </patternFill>
    </fill>
    <fill>
      <patternFill patternType="solid">
        <fgColor rgb="FF4C1D95"/>
        <bgColor rgb="FF1E3A8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EE2E2"/>
      <rgbColor rgb="FF808080"/>
      <rgbColor rgb="FF9999FF"/>
      <rgbColor rgb="FF993366"/>
      <rgbColor rgb="FFFEF9C3"/>
      <rgbColor rgb="FFDCFCE7"/>
      <rgbColor rgb="FF4C1D95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FF7ED"/>
      <rgbColor rgb="FFEDE9FE"/>
      <rgbColor rgb="FFF3F4F6"/>
      <rgbColor rgb="FFCC99FF"/>
      <rgbColor rgb="FFFED7AA"/>
      <rgbColor rgb="FF2563EB"/>
      <rgbColor rgb="FF33CCCC"/>
      <rgbColor rgb="FF99CC00"/>
      <rgbColor rgb="FFFFCC00"/>
      <rgbColor rgb="FFCA8A04"/>
      <rgbColor rgb="FFEA580C"/>
      <rgbColor rgb="FF666699"/>
      <rgbColor rgb="FF969696"/>
      <rgbColor rgb="FF003366"/>
      <rgbColor rgb="FF339966"/>
      <rgbColor rgb="FF14532D"/>
      <rgbColor rgb="FF374151"/>
      <rgbColor rgb="FF9B1C1C"/>
      <rgbColor rgb="FF993366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12"/>
    <col collapsed="false" customWidth="true" hidden="false" outlineLevel="0" max="4" min="4" style="1" width="28"/>
    <col collapsed="false" customWidth="true" hidden="false" outlineLevel="0" max="5" min="5" style="1" width="40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12" min="8" style="1" width="10"/>
  </cols>
  <sheetData>
    <row r="1" customFormat="false" ht="6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39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34.5" hidden="false" customHeight="true" outlineLevel="0" collapsed="false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7" t="s">
        <v>16</v>
      </c>
    </row>
    <row r="7" customFormat="false" ht="34.5" hidden="false" customHeight="true" outlineLevel="0" collapsed="false">
      <c r="A7" s="8" t="s">
        <v>17</v>
      </c>
      <c r="B7" s="8" t="s">
        <v>18</v>
      </c>
      <c r="C7" s="8" t="s">
        <v>19</v>
      </c>
      <c r="D7" s="8" t="s">
        <v>20</v>
      </c>
      <c r="E7" s="8" t="s">
        <v>14</v>
      </c>
      <c r="F7" s="8" t="s">
        <v>21</v>
      </c>
      <c r="G7" s="9" t="s">
        <v>22</v>
      </c>
    </row>
    <row r="8" customFormat="false" ht="34.5" hidden="false" customHeight="true" outlineLevel="0" collapsed="false">
      <c r="A8" s="6" t="s">
        <v>23</v>
      </c>
      <c r="B8" s="6" t="s">
        <v>24</v>
      </c>
      <c r="C8" s="6" t="s">
        <v>25</v>
      </c>
      <c r="D8" s="6" t="s">
        <v>26</v>
      </c>
      <c r="E8" s="6" t="s">
        <v>14</v>
      </c>
      <c r="F8" s="6" t="s">
        <v>27</v>
      </c>
      <c r="G8" s="9" t="s">
        <v>22</v>
      </c>
    </row>
    <row r="10" customFormat="false" ht="15" hidden="false" customHeight="true" outlineLevel="0" collapsed="false">
      <c r="A10" s="4" t="s">
        <v>28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26.25" hidden="false" customHeight="true" outlineLevel="0" collapsed="false">
      <c r="A11" s="5" t="s">
        <v>29</v>
      </c>
      <c r="B11" s="5" t="s">
        <v>30</v>
      </c>
      <c r="C11" s="5" t="s">
        <v>31</v>
      </c>
      <c r="D11" s="5" t="s">
        <v>32</v>
      </c>
      <c r="E11" s="5" t="s">
        <v>33</v>
      </c>
      <c r="F11" s="5" t="s">
        <v>34</v>
      </c>
      <c r="G11" s="5" t="s">
        <v>35</v>
      </c>
    </row>
    <row r="12" customFormat="false" ht="68.25" hidden="false" customHeight="true" outlineLevel="0" collapsed="false">
      <c r="A12" s="10" t="s">
        <v>36</v>
      </c>
      <c r="B12" s="10" t="s">
        <v>37</v>
      </c>
      <c r="C12" s="10" t="s">
        <v>38</v>
      </c>
      <c r="D12" s="10" t="n">
        <f aca="false">C13-B13</f>
        <v>-312770</v>
      </c>
      <c r="E12" s="10" t="s">
        <v>39</v>
      </c>
      <c r="F12" s="10" t="s">
        <v>40</v>
      </c>
      <c r="G12" s="10" t="s">
        <v>41</v>
      </c>
    </row>
    <row r="13" customFormat="false" ht="90.75" hidden="false" customHeight="true" outlineLevel="0" collapsed="false">
      <c r="A13" s="8" t="s">
        <v>42</v>
      </c>
      <c r="B13" s="8" t="s">
        <v>43</v>
      </c>
      <c r="C13" s="8" t="s">
        <v>44</v>
      </c>
      <c r="D13" s="8" t="n">
        <v>-405000</v>
      </c>
      <c r="E13" s="8" t="n">
        <v>0.17</v>
      </c>
      <c r="F13" s="8" t="s">
        <v>40</v>
      </c>
      <c r="G13" s="8" t="s">
        <v>45</v>
      </c>
    </row>
    <row r="14" customFormat="false" ht="90.75" hidden="false" customHeight="true" outlineLevel="0" collapsed="false">
      <c r="A14" s="10" t="s">
        <v>46</v>
      </c>
      <c r="B14" s="10" t="s">
        <v>47</v>
      </c>
      <c r="C14" s="10" t="s">
        <v>48</v>
      </c>
      <c r="D14" s="10" t="n">
        <v>-312770</v>
      </c>
      <c r="E14" s="10" t="n">
        <v>0.103</v>
      </c>
      <c r="F14" s="10" t="s">
        <v>49</v>
      </c>
      <c r="G14" s="10" t="s">
        <v>50</v>
      </c>
    </row>
    <row r="15" customFormat="false" ht="68.25" hidden="false" customHeight="true" outlineLevel="0" collapsed="false">
      <c r="A15" s="11" t="s">
        <v>51</v>
      </c>
      <c r="B15" s="11" t="s">
        <v>47</v>
      </c>
      <c r="C15" s="11" t="s">
        <v>48</v>
      </c>
      <c r="D15" s="11" t="s">
        <v>52</v>
      </c>
      <c r="E15" s="11"/>
      <c r="F15" s="11" t="s">
        <v>53</v>
      </c>
      <c r="G15" s="11" t="s">
        <v>54</v>
      </c>
    </row>
    <row r="16" customFormat="false" ht="15" hidden="false" customHeight="true" outlineLevel="0" collapsed="false">
      <c r="B16" s="1" t="s">
        <v>55</v>
      </c>
      <c r="C16" s="1" t="s">
        <v>56</v>
      </c>
      <c r="D16" s="1" t="s">
        <v>57</v>
      </c>
    </row>
    <row r="17" customFormat="false" ht="15" hidden="false" customHeight="true" outlineLevel="0" collapsed="false">
      <c r="A17" s="4" t="s">
        <v>58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26.25" hidden="false" customHeight="true" outlineLevel="0" collapsed="false">
      <c r="A18" s="5" t="s">
        <v>59</v>
      </c>
      <c r="B18" s="5" t="s">
        <v>60</v>
      </c>
      <c r="C18" s="5" t="s">
        <v>61</v>
      </c>
      <c r="D18" s="5" t="s">
        <v>62</v>
      </c>
      <c r="E18" s="5" t="s">
        <v>63</v>
      </c>
      <c r="F18" s="5" t="s">
        <v>64</v>
      </c>
      <c r="G18" s="5" t="s">
        <v>65</v>
      </c>
    </row>
    <row r="19" customFormat="false" ht="34.5" hidden="false" customHeight="true" outlineLevel="0" collapsed="false">
      <c r="A19" s="12" t="s">
        <v>66</v>
      </c>
      <c r="B19" s="12" t="s">
        <v>67</v>
      </c>
      <c r="C19" s="12" t="s">
        <v>68</v>
      </c>
      <c r="D19" s="12" t="s">
        <v>69</v>
      </c>
      <c r="E19" s="12" t="s">
        <v>70</v>
      </c>
      <c r="F19" s="12" t="s">
        <v>71</v>
      </c>
      <c r="G19" s="13" t="s">
        <v>72</v>
      </c>
    </row>
    <row r="20" customFormat="false" ht="34.5" hidden="false" customHeight="true" outlineLevel="0" collapsed="false">
      <c r="A20" s="14" t="s">
        <v>73</v>
      </c>
      <c r="B20" s="14" t="s">
        <v>74</v>
      </c>
      <c r="C20" s="14" t="s">
        <v>75</v>
      </c>
      <c r="D20" s="14" t="s">
        <v>76</v>
      </c>
      <c r="E20" s="14" t="s">
        <v>77</v>
      </c>
      <c r="F20" s="14" t="s">
        <v>78</v>
      </c>
      <c r="G20" s="15" t="s">
        <v>72</v>
      </c>
    </row>
    <row r="21" customFormat="false" ht="45.75" hidden="false" customHeight="true" outlineLevel="0" collapsed="false">
      <c r="A21" s="16" t="s">
        <v>79</v>
      </c>
      <c r="B21" s="16" t="s">
        <v>80</v>
      </c>
      <c r="C21" s="16" t="s">
        <v>81</v>
      </c>
      <c r="D21" s="16" t="s">
        <v>82</v>
      </c>
      <c r="E21" s="16" t="s">
        <v>83</v>
      </c>
      <c r="F21" s="16" t="s">
        <v>84</v>
      </c>
      <c r="G21" s="17" t="s">
        <v>85</v>
      </c>
    </row>
    <row r="22" customFormat="false" ht="34.5" hidden="false" customHeight="true" outlineLevel="0" collapsed="false">
      <c r="A22" s="18" t="s">
        <v>86</v>
      </c>
      <c r="B22" s="18" t="s">
        <v>87</v>
      </c>
      <c r="C22" s="18" t="s">
        <v>88</v>
      </c>
      <c r="D22" s="18" t="s">
        <v>89</v>
      </c>
      <c r="E22" s="18" t="s">
        <v>90</v>
      </c>
      <c r="F22" s="18" t="s">
        <v>91</v>
      </c>
      <c r="G22" s="11" t="s">
        <v>92</v>
      </c>
    </row>
    <row r="23" customFormat="false" ht="34.5" hidden="false" customHeight="true" outlineLevel="0" collapsed="false">
      <c r="A23" s="19" t="s">
        <v>93</v>
      </c>
      <c r="B23" s="19" t="s">
        <v>94</v>
      </c>
      <c r="C23" s="19" t="s">
        <v>95</v>
      </c>
      <c r="D23" s="19" t="s">
        <v>96</v>
      </c>
      <c r="E23" s="19" t="s">
        <v>97</v>
      </c>
      <c r="F23" s="19" t="s">
        <v>98</v>
      </c>
      <c r="G23" s="20" t="s">
        <v>92</v>
      </c>
    </row>
  </sheetData>
  <mergeCells count="5">
    <mergeCell ref="A1:L1"/>
    <mergeCell ref="A2:L2"/>
    <mergeCell ref="A4:L4"/>
    <mergeCell ref="A10:L10"/>
    <mergeCell ref="A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22"/>
    <col collapsed="false" customWidth="true" hidden="false" outlineLevel="0" max="4" min="4" style="1" width="38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30"/>
    <col collapsed="false" customWidth="true" hidden="false" outlineLevel="0" max="8" min="8" style="1" width="26"/>
    <col collapsed="false" customWidth="true" hidden="false" outlineLevel="0" max="9" min="9" style="1" width="12"/>
  </cols>
  <sheetData>
    <row r="1" customFormat="false" ht="39.75" hidden="false" customHeight="true" outlineLevel="0" collapsed="false">
      <c r="A1" s="21" t="s">
        <v>99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customFormat="false" ht="26.25" hidden="false" customHeight="true" outlineLevel="0" collapsed="false">
      <c r="A3" s="5" t="s">
        <v>100</v>
      </c>
      <c r="B3" s="5" t="s">
        <v>101</v>
      </c>
      <c r="C3" s="5" t="s">
        <v>102</v>
      </c>
      <c r="D3" s="5" t="s">
        <v>103</v>
      </c>
      <c r="E3" s="5" t="s">
        <v>104</v>
      </c>
      <c r="F3" s="5" t="s">
        <v>105</v>
      </c>
      <c r="G3" s="5" t="s">
        <v>106</v>
      </c>
      <c r="H3" s="5" t="s">
        <v>107</v>
      </c>
      <c r="I3" s="5" t="s">
        <v>108</v>
      </c>
    </row>
    <row r="4" customFormat="false" ht="60" hidden="false" customHeight="true" outlineLevel="0" collapsed="false">
      <c r="A4" s="12" t="s">
        <v>109</v>
      </c>
      <c r="B4" s="12" t="s">
        <v>110</v>
      </c>
      <c r="C4" s="12" t="s">
        <v>111</v>
      </c>
      <c r="D4" s="12" t="s">
        <v>112</v>
      </c>
      <c r="E4" s="12" t="s">
        <v>113</v>
      </c>
      <c r="F4" s="12" t="s">
        <v>114</v>
      </c>
      <c r="G4" s="12" t="s">
        <v>115</v>
      </c>
      <c r="H4" s="12" t="s">
        <v>116</v>
      </c>
      <c r="I4" s="22" t="s">
        <v>72</v>
      </c>
    </row>
    <row r="5" customFormat="false" ht="60" hidden="false" customHeight="true" outlineLevel="0" collapsed="false">
      <c r="A5" s="8" t="s">
        <v>117</v>
      </c>
      <c r="B5" s="8" t="s">
        <v>118</v>
      </c>
      <c r="C5" s="8" t="s">
        <v>119</v>
      </c>
      <c r="D5" s="8" t="s">
        <v>120</v>
      </c>
      <c r="E5" s="8" t="s">
        <v>121</v>
      </c>
      <c r="F5" s="8" t="s">
        <v>122</v>
      </c>
      <c r="G5" s="8" t="s">
        <v>123</v>
      </c>
      <c r="H5" s="8" t="s">
        <v>124</v>
      </c>
      <c r="I5" s="22" t="s">
        <v>72</v>
      </c>
    </row>
    <row r="6" customFormat="false" ht="60" hidden="false" customHeight="true" outlineLevel="0" collapsed="false">
      <c r="A6" s="12" t="s">
        <v>125</v>
      </c>
      <c r="B6" s="12" t="s">
        <v>126</v>
      </c>
      <c r="C6" s="12" t="s">
        <v>127</v>
      </c>
      <c r="D6" s="12" t="s">
        <v>128</v>
      </c>
      <c r="E6" s="12" t="s">
        <v>129</v>
      </c>
      <c r="F6" s="12" t="s">
        <v>130</v>
      </c>
      <c r="G6" s="12" t="s">
        <v>131</v>
      </c>
      <c r="H6" s="12" t="s">
        <v>132</v>
      </c>
      <c r="I6" s="22" t="s">
        <v>72</v>
      </c>
    </row>
    <row r="7" customFormat="false" ht="60" hidden="false" customHeight="true" outlineLevel="0" collapsed="false">
      <c r="A7" s="8" t="s">
        <v>133</v>
      </c>
      <c r="B7" s="8" t="s">
        <v>134</v>
      </c>
      <c r="C7" s="8" t="s">
        <v>135</v>
      </c>
      <c r="D7" s="8" t="s">
        <v>136</v>
      </c>
      <c r="E7" s="8" t="s">
        <v>137</v>
      </c>
      <c r="F7" s="8" t="s">
        <v>138</v>
      </c>
      <c r="G7" s="8" t="s">
        <v>139</v>
      </c>
      <c r="H7" s="8" t="s">
        <v>140</v>
      </c>
      <c r="I7" s="22" t="s">
        <v>72</v>
      </c>
    </row>
    <row r="8" customFormat="false" ht="60" hidden="false" customHeight="true" outlineLevel="0" collapsed="false">
      <c r="A8" s="12" t="s">
        <v>141</v>
      </c>
      <c r="B8" s="12" t="s">
        <v>142</v>
      </c>
      <c r="C8" s="12" t="s">
        <v>143</v>
      </c>
      <c r="D8" s="12" t="s">
        <v>144</v>
      </c>
      <c r="E8" s="12" t="s">
        <v>145</v>
      </c>
      <c r="F8" s="12" t="s">
        <v>146</v>
      </c>
      <c r="G8" s="12" t="s">
        <v>147</v>
      </c>
      <c r="H8" s="12" t="s">
        <v>148</v>
      </c>
      <c r="I8" s="7" t="s">
        <v>85</v>
      </c>
    </row>
    <row r="9" customFormat="false" ht="60" hidden="false" customHeight="true" outlineLevel="0" collapsed="false">
      <c r="A9" s="8" t="s">
        <v>149</v>
      </c>
      <c r="B9" s="8" t="s">
        <v>150</v>
      </c>
      <c r="C9" s="8" t="s">
        <v>151</v>
      </c>
      <c r="D9" s="8" t="s">
        <v>152</v>
      </c>
      <c r="E9" s="8" t="s">
        <v>153</v>
      </c>
      <c r="F9" s="8" t="s">
        <v>154</v>
      </c>
      <c r="G9" s="8" t="s">
        <v>155</v>
      </c>
      <c r="H9" s="8" t="s">
        <v>156</v>
      </c>
      <c r="I9" s="7" t="s">
        <v>85</v>
      </c>
    </row>
    <row r="10" customFormat="false" ht="60" hidden="false" customHeight="true" outlineLevel="0" collapsed="false">
      <c r="A10" s="12" t="s">
        <v>157</v>
      </c>
      <c r="B10" s="12" t="s">
        <v>158</v>
      </c>
      <c r="C10" s="12" t="s">
        <v>159</v>
      </c>
      <c r="D10" s="12" t="s">
        <v>160</v>
      </c>
      <c r="E10" s="12" t="s">
        <v>161</v>
      </c>
      <c r="F10" s="12" t="s">
        <v>162</v>
      </c>
      <c r="G10" s="12" t="s">
        <v>163</v>
      </c>
      <c r="H10" s="12" t="s">
        <v>164</v>
      </c>
      <c r="I10" s="7" t="s">
        <v>85</v>
      </c>
    </row>
    <row r="11" customFormat="false" ht="60" hidden="false" customHeight="true" outlineLevel="0" collapsed="false">
      <c r="A11" s="8" t="s">
        <v>165</v>
      </c>
      <c r="B11" s="8" t="s">
        <v>166</v>
      </c>
      <c r="C11" s="8" t="s">
        <v>167</v>
      </c>
      <c r="D11" s="8" t="s">
        <v>168</v>
      </c>
      <c r="E11" s="8" t="s">
        <v>169</v>
      </c>
      <c r="F11" s="8" t="s">
        <v>170</v>
      </c>
      <c r="G11" s="8" t="s">
        <v>171</v>
      </c>
      <c r="H11" s="8" t="s">
        <v>172</v>
      </c>
      <c r="I11" s="7" t="s">
        <v>85</v>
      </c>
    </row>
    <row r="12" customFormat="false" ht="60" hidden="false" customHeight="true" outlineLevel="0" collapsed="false">
      <c r="A12" s="12" t="s">
        <v>173</v>
      </c>
      <c r="B12" s="12" t="s">
        <v>174</v>
      </c>
      <c r="C12" s="12" t="s">
        <v>175</v>
      </c>
      <c r="D12" s="12" t="s">
        <v>176</v>
      </c>
      <c r="E12" s="12" t="s">
        <v>177</v>
      </c>
      <c r="F12" s="12" t="s">
        <v>178</v>
      </c>
      <c r="G12" s="12" t="s">
        <v>179</v>
      </c>
      <c r="H12" s="12" t="s">
        <v>180</v>
      </c>
      <c r="I12" s="23" t="s">
        <v>92</v>
      </c>
    </row>
    <row r="13" customFormat="false" ht="60" hidden="false" customHeight="true" outlineLevel="0" collapsed="false">
      <c r="A13" s="8" t="s">
        <v>181</v>
      </c>
      <c r="B13" s="8" t="s">
        <v>182</v>
      </c>
      <c r="C13" s="8" t="s">
        <v>183</v>
      </c>
      <c r="D13" s="8" t="s">
        <v>184</v>
      </c>
      <c r="E13" s="8" t="s">
        <v>185</v>
      </c>
      <c r="F13" s="8" t="s">
        <v>186</v>
      </c>
      <c r="G13" s="8" t="s">
        <v>187</v>
      </c>
      <c r="H13" s="8" t="s">
        <v>188</v>
      </c>
      <c r="I13" s="23" t="s">
        <v>92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38"/>
    <col collapsed="false" customWidth="true" hidden="false" outlineLevel="0" max="5" min="4" style="1" width="12"/>
    <col collapsed="false" customWidth="true" hidden="false" outlineLevel="0" max="6" min="6" style="1" width="8"/>
    <col collapsed="false" customWidth="true" hidden="false" outlineLevel="0" max="7" min="7" style="1" width="22"/>
    <col collapsed="false" customWidth="true" hidden="false" outlineLevel="0" max="8" min="8" style="1" width="36"/>
    <col collapsed="false" customWidth="true" hidden="false" outlineLevel="0" max="10" min="9" style="1" width="30"/>
  </cols>
  <sheetData>
    <row r="1" customFormat="false" ht="39.75" hidden="false" customHeight="true" outlineLevel="0" collapsed="false">
      <c r="A1" s="21" t="s">
        <v>189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3" customFormat="false" ht="39" hidden="false" customHeight="true" outlineLevel="0" collapsed="false">
      <c r="A3" s="5" t="s">
        <v>190</v>
      </c>
      <c r="B3" s="5" t="s">
        <v>191</v>
      </c>
      <c r="C3" s="5" t="s">
        <v>192</v>
      </c>
      <c r="D3" s="5" t="s">
        <v>193</v>
      </c>
      <c r="E3" s="5" t="s">
        <v>194</v>
      </c>
      <c r="F3" s="5" t="s">
        <v>195</v>
      </c>
      <c r="G3" s="5" t="s">
        <v>196</v>
      </c>
      <c r="H3" s="5" t="s">
        <v>197</v>
      </c>
      <c r="I3" s="5" t="s">
        <v>198</v>
      </c>
      <c r="J3" s="5" t="s">
        <v>199</v>
      </c>
    </row>
    <row r="4" customFormat="false" ht="49.5" hidden="false" customHeight="true" outlineLevel="0" collapsed="false">
      <c r="A4" s="12" t="s">
        <v>200</v>
      </c>
      <c r="B4" s="8" t="s">
        <v>201</v>
      </c>
      <c r="C4" s="8" t="s">
        <v>202</v>
      </c>
      <c r="D4" s="24" t="n">
        <v>2</v>
      </c>
      <c r="E4" s="25" t="n">
        <v>4</v>
      </c>
      <c r="F4" s="26" t="n">
        <v>2</v>
      </c>
      <c r="G4" s="8" t="s">
        <v>203</v>
      </c>
      <c r="H4" s="8" t="s">
        <v>204</v>
      </c>
      <c r="I4" s="8" t="s">
        <v>205</v>
      </c>
      <c r="J4" s="8" t="s">
        <v>206</v>
      </c>
    </row>
    <row r="5" customFormat="false" ht="49.5" hidden="false" customHeight="true" outlineLevel="0" collapsed="false">
      <c r="A5" s="12" t="s">
        <v>200</v>
      </c>
      <c r="B5" s="8" t="s">
        <v>201</v>
      </c>
      <c r="C5" s="8" t="s">
        <v>207</v>
      </c>
      <c r="D5" s="24" t="n">
        <v>2</v>
      </c>
      <c r="E5" s="25" t="n">
        <v>4</v>
      </c>
      <c r="F5" s="26" t="n">
        <v>2</v>
      </c>
      <c r="G5" s="8" t="s">
        <v>208</v>
      </c>
      <c r="H5" s="8" t="s">
        <v>209</v>
      </c>
      <c r="I5" s="8" t="s">
        <v>210</v>
      </c>
      <c r="J5" s="8" t="s">
        <v>211</v>
      </c>
    </row>
    <row r="6" customFormat="false" ht="49.5" hidden="false" customHeight="true" outlineLevel="0" collapsed="false">
      <c r="A6" s="12" t="s">
        <v>200</v>
      </c>
      <c r="B6" s="8" t="s">
        <v>201</v>
      </c>
      <c r="C6" s="8" t="s">
        <v>212</v>
      </c>
      <c r="D6" s="27" t="n">
        <v>1</v>
      </c>
      <c r="E6" s="28" t="n">
        <v>3</v>
      </c>
      <c r="F6" s="26" t="n">
        <v>2</v>
      </c>
      <c r="G6" s="8" t="s">
        <v>213</v>
      </c>
      <c r="H6" s="8" t="s">
        <v>214</v>
      </c>
      <c r="I6" s="8" t="s">
        <v>215</v>
      </c>
      <c r="J6" s="8" t="s">
        <v>216</v>
      </c>
    </row>
    <row r="7" customFormat="false" ht="49.5" hidden="false" customHeight="true" outlineLevel="0" collapsed="false">
      <c r="A7" s="12" t="s">
        <v>200</v>
      </c>
      <c r="B7" s="8" t="s">
        <v>217</v>
      </c>
      <c r="C7" s="8" t="s">
        <v>218</v>
      </c>
      <c r="D7" s="24" t="n">
        <v>2</v>
      </c>
      <c r="E7" s="25" t="n">
        <v>4</v>
      </c>
      <c r="F7" s="26" t="n">
        <v>2</v>
      </c>
      <c r="G7" s="8" t="s">
        <v>219</v>
      </c>
      <c r="H7" s="8" t="s">
        <v>220</v>
      </c>
      <c r="I7" s="8" t="s">
        <v>221</v>
      </c>
      <c r="J7" s="8" t="s">
        <v>222</v>
      </c>
    </row>
    <row r="8" customFormat="false" ht="49.5" hidden="false" customHeight="true" outlineLevel="0" collapsed="false">
      <c r="A8" s="12" t="s">
        <v>223</v>
      </c>
      <c r="B8" s="8" t="s">
        <v>201</v>
      </c>
      <c r="C8" s="8" t="s">
        <v>224</v>
      </c>
      <c r="D8" s="27" t="n">
        <v>1</v>
      </c>
      <c r="E8" s="25" t="n">
        <v>4</v>
      </c>
      <c r="F8" s="29" t="n">
        <v>3</v>
      </c>
      <c r="G8" s="8" t="s">
        <v>225</v>
      </c>
      <c r="H8" s="8" t="s">
        <v>226</v>
      </c>
      <c r="I8" s="8" t="s">
        <v>227</v>
      </c>
      <c r="J8" s="8" t="s">
        <v>228</v>
      </c>
    </row>
    <row r="9" customFormat="false" ht="49.5" hidden="false" customHeight="true" outlineLevel="0" collapsed="false">
      <c r="A9" s="12" t="s">
        <v>223</v>
      </c>
      <c r="B9" s="8" t="s">
        <v>201</v>
      </c>
      <c r="C9" s="8" t="s">
        <v>229</v>
      </c>
      <c r="D9" s="27" t="n">
        <v>1</v>
      </c>
      <c r="E9" s="28" t="n">
        <v>3</v>
      </c>
      <c r="F9" s="26" t="n">
        <v>2</v>
      </c>
      <c r="G9" s="8" t="s">
        <v>230</v>
      </c>
      <c r="H9" s="8" t="s">
        <v>231</v>
      </c>
      <c r="I9" s="8" t="s">
        <v>232</v>
      </c>
      <c r="J9" s="8" t="s">
        <v>233</v>
      </c>
    </row>
    <row r="10" customFormat="false" ht="49.5" hidden="false" customHeight="true" outlineLevel="0" collapsed="false">
      <c r="A10" s="12" t="s">
        <v>223</v>
      </c>
      <c r="B10" s="8" t="s">
        <v>217</v>
      </c>
      <c r="C10" s="8" t="s">
        <v>234</v>
      </c>
      <c r="D10" s="27" t="n">
        <v>1</v>
      </c>
      <c r="E10" s="28" t="n">
        <v>3</v>
      </c>
      <c r="F10" s="26" t="n">
        <v>2</v>
      </c>
      <c r="G10" s="8" t="s">
        <v>235</v>
      </c>
      <c r="H10" s="8" t="s">
        <v>236</v>
      </c>
      <c r="I10" s="8" t="s">
        <v>237</v>
      </c>
      <c r="J10" s="8" t="s">
        <v>238</v>
      </c>
    </row>
    <row r="11" customFormat="false" ht="49.5" hidden="false" customHeight="true" outlineLevel="0" collapsed="false">
      <c r="A11" s="12" t="s">
        <v>223</v>
      </c>
      <c r="B11" s="8" t="s">
        <v>239</v>
      </c>
      <c r="C11" s="8" t="s">
        <v>240</v>
      </c>
      <c r="D11" s="27" t="n">
        <v>1</v>
      </c>
      <c r="E11" s="28" t="n">
        <v>3</v>
      </c>
      <c r="F11" s="26" t="n">
        <v>2</v>
      </c>
      <c r="G11" s="8" t="s">
        <v>241</v>
      </c>
      <c r="H11" s="8" t="s">
        <v>242</v>
      </c>
      <c r="I11" s="8" t="s">
        <v>243</v>
      </c>
      <c r="J11" s="8" t="s">
        <v>244</v>
      </c>
    </row>
    <row r="12" customFormat="false" ht="49.5" hidden="false" customHeight="true" outlineLevel="0" collapsed="false">
      <c r="A12" s="12" t="s">
        <v>245</v>
      </c>
      <c r="B12" s="8" t="s">
        <v>201</v>
      </c>
      <c r="C12" s="8" t="s">
        <v>246</v>
      </c>
      <c r="D12" s="27" t="n">
        <v>1</v>
      </c>
      <c r="E12" s="25" t="n">
        <v>4</v>
      </c>
      <c r="F12" s="29" t="n">
        <v>3</v>
      </c>
      <c r="G12" s="8" t="s">
        <v>247</v>
      </c>
      <c r="H12" s="8" t="s">
        <v>248</v>
      </c>
      <c r="I12" s="8" t="s">
        <v>249</v>
      </c>
      <c r="J12" s="8" t="s">
        <v>250</v>
      </c>
    </row>
    <row r="13" customFormat="false" ht="49.5" hidden="false" customHeight="true" outlineLevel="0" collapsed="false">
      <c r="A13" s="12" t="s">
        <v>245</v>
      </c>
      <c r="B13" s="8" t="s">
        <v>217</v>
      </c>
      <c r="C13" s="8" t="s">
        <v>251</v>
      </c>
      <c r="D13" s="27" t="n">
        <v>1</v>
      </c>
      <c r="E13" s="25" t="n">
        <v>4</v>
      </c>
      <c r="F13" s="29" t="n">
        <v>3</v>
      </c>
      <c r="G13" s="8" t="s">
        <v>252</v>
      </c>
      <c r="H13" s="8" t="s">
        <v>253</v>
      </c>
      <c r="I13" s="8" t="s">
        <v>254</v>
      </c>
      <c r="J13" s="8" t="s">
        <v>255</v>
      </c>
    </row>
    <row r="14" customFormat="false" ht="49.5" hidden="false" customHeight="true" outlineLevel="0" collapsed="false">
      <c r="A14" s="12" t="s">
        <v>245</v>
      </c>
      <c r="B14" s="8" t="s">
        <v>217</v>
      </c>
      <c r="C14" s="8" t="s">
        <v>256</v>
      </c>
      <c r="D14" s="24" t="n">
        <v>2</v>
      </c>
      <c r="E14" s="28" t="n">
        <v>3</v>
      </c>
      <c r="F14" s="30" t="n">
        <v>1</v>
      </c>
      <c r="G14" s="8" t="s">
        <v>257</v>
      </c>
      <c r="H14" s="8" t="s">
        <v>258</v>
      </c>
      <c r="I14" s="8" t="s">
        <v>259</v>
      </c>
      <c r="J14" s="8" t="s">
        <v>260</v>
      </c>
    </row>
    <row r="15" customFormat="false" ht="49.5" hidden="false" customHeight="true" outlineLevel="0" collapsed="false">
      <c r="A15" s="12" t="s">
        <v>261</v>
      </c>
      <c r="B15" s="8" t="s">
        <v>201</v>
      </c>
      <c r="C15" s="8" t="s">
        <v>262</v>
      </c>
      <c r="D15" s="27" t="n">
        <v>1</v>
      </c>
      <c r="E15" s="25" t="n">
        <v>4</v>
      </c>
      <c r="F15" s="29" t="n">
        <v>3</v>
      </c>
      <c r="G15" s="8" t="s">
        <v>263</v>
      </c>
      <c r="H15" s="8" t="s">
        <v>264</v>
      </c>
      <c r="I15" s="8" t="s">
        <v>265</v>
      </c>
      <c r="J15" s="8" t="s">
        <v>266</v>
      </c>
    </row>
    <row r="16" customFormat="false" ht="49.5" hidden="false" customHeight="true" outlineLevel="0" collapsed="false">
      <c r="A16" s="12" t="s">
        <v>261</v>
      </c>
      <c r="B16" s="8" t="s">
        <v>201</v>
      </c>
      <c r="C16" s="8" t="s">
        <v>267</v>
      </c>
      <c r="D16" s="27" t="n">
        <v>1</v>
      </c>
      <c r="E16" s="28" t="n">
        <v>3</v>
      </c>
      <c r="F16" s="26" t="n">
        <v>2</v>
      </c>
      <c r="G16" s="8" t="s">
        <v>268</v>
      </c>
      <c r="H16" s="8" t="s">
        <v>269</v>
      </c>
      <c r="I16" s="8" t="s">
        <v>270</v>
      </c>
      <c r="J16" s="8" t="s">
        <v>271</v>
      </c>
    </row>
    <row r="17" customFormat="false" ht="49.5" hidden="false" customHeight="true" outlineLevel="0" collapsed="false">
      <c r="A17" s="12" t="s">
        <v>261</v>
      </c>
      <c r="B17" s="8" t="s">
        <v>217</v>
      </c>
      <c r="C17" s="8" t="s">
        <v>272</v>
      </c>
      <c r="D17" s="27" t="n">
        <v>1</v>
      </c>
      <c r="E17" s="28" t="n">
        <v>3</v>
      </c>
      <c r="F17" s="26" t="n">
        <v>2</v>
      </c>
      <c r="G17" s="8" t="s">
        <v>273</v>
      </c>
      <c r="H17" s="8" t="s">
        <v>274</v>
      </c>
      <c r="I17" s="8" t="s">
        <v>275</v>
      </c>
      <c r="J17" s="8" t="s">
        <v>276</v>
      </c>
    </row>
    <row r="18" customFormat="false" ht="49.5" hidden="false" customHeight="true" outlineLevel="0" collapsed="false">
      <c r="A18" s="12" t="s">
        <v>261</v>
      </c>
      <c r="B18" s="8" t="s">
        <v>239</v>
      </c>
      <c r="C18" s="8" t="s">
        <v>277</v>
      </c>
      <c r="D18" s="24" t="n">
        <v>2</v>
      </c>
      <c r="E18" s="25" t="n">
        <v>4</v>
      </c>
      <c r="F18" s="26" t="n">
        <v>2</v>
      </c>
      <c r="G18" s="8" t="s">
        <v>278</v>
      </c>
      <c r="H18" s="8" t="s">
        <v>279</v>
      </c>
      <c r="I18" s="8" t="s">
        <v>280</v>
      </c>
      <c r="J18" s="8" t="s">
        <v>281</v>
      </c>
    </row>
    <row r="19" customFormat="false" ht="49.5" hidden="false" customHeight="true" outlineLevel="0" collapsed="false">
      <c r="A19" s="12" t="s">
        <v>282</v>
      </c>
      <c r="B19" s="8" t="s">
        <v>201</v>
      </c>
      <c r="C19" s="8" t="s">
        <v>283</v>
      </c>
      <c r="D19" s="27" t="n">
        <v>1</v>
      </c>
      <c r="E19" s="25" t="n">
        <v>4</v>
      </c>
      <c r="F19" s="29" t="n">
        <v>3</v>
      </c>
      <c r="G19" s="8" t="s">
        <v>284</v>
      </c>
      <c r="H19" s="8" t="s">
        <v>285</v>
      </c>
      <c r="I19" s="8" t="s">
        <v>286</v>
      </c>
      <c r="J19" s="8" t="s">
        <v>287</v>
      </c>
    </row>
    <row r="20" customFormat="false" ht="49.5" hidden="false" customHeight="true" outlineLevel="0" collapsed="false">
      <c r="A20" s="12" t="s">
        <v>282</v>
      </c>
      <c r="B20" s="8" t="s">
        <v>201</v>
      </c>
      <c r="C20" s="8" t="s">
        <v>288</v>
      </c>
      <c r="D20" s="27" t="n">
        <v>1</v>
      </c>
      <c r="E20" s="28" t="n">
        <v>3</v>
      </c>
      <c r="F20" s="26" t="n">
        <v>2</v>
      </c>
      <c r="G20" s="8" t="s">
        <v>289</v>
      </c>
      <c r="H20" s="8" t="s">
        <v>290</v>
      </c>
      <c r="I20" s="8" t="s">
        <v>291</v>
      </c>
      <c r="J20" s="8" t="s">
        <v>292</v>
      </c>
    </row>
    <row r="21" customFormat="false" ht="49.5" hidden="false" customHeight="true" outlineLevel="0" collapsed="false">
      <c r="A21" s="12" t="s">
        <v>282</v>
      </c>
      <c r="B21" s="8" t="s">
        <v>217</v>
      </c>
      <c r="C21" s="8" t="s">
        <v>293</v>
      </c>
      <c r="D21" s="27" t="n">
        <v>1</v>
      </c>
      <c r="E21" s="28" t="n">
        <v>3</v>
      </c>
      <c r="F21" s="26" t="n">
        <v>2</v>
      </c>
      <c r="G21" s="8" t="s">
        <v>294</v>
      </c>
      <c r="H21" s="8" t="s">
        <v>295</v>
      </c>
      <c r="I21" s="8" t="s">
        <v>296</v>
      </c>
      <c r="J21" s="8" t="s">
        <v>297</v>
      </c>
    </row>
    <row r="22" customFormat="false" ht="49.5" hidden="false" customHeight="true" outlineLevel="0" collapsed="false">
      <c r="A22" s="12" t="s">
        <v>298</v>
      </c>
      <c r="B22" s="8" t="s">
        <v>299</v>
      </c>
      <c r="C22" s="8" t="s">
        <v>300</v>
      </c>
      <c r="D22" s="27" t="n">
        <v>1</v>
      </c>
      <c r="E22" s="25" t="n">
        <v>4</v>
      </c>
      <c r="F22" s="29" t="n">
        <v>3</v>
      </c>
      <c r="G22" s="8" t="s">
        <v>301</v>
      </c>
      <c r="H22" s="8" t="s">
        <v>302</v>
      </c>
      <c r="I22" s="8" t="s">
        <v>303</v>
      </c>
      <c r="J22" s="8" t="s">
        <v>304</v>
      </c>
    </row>
    <row r="23" customFormat="false" ht="49.5" hidden="false" customHeight="true" outlineLevel="0" collapsed="false">
      <c r="A23" s="12" t="s">
        <v>298</v>
      </c>
      <c r="B23" s="8" t="s">
        <v>299</v>
      </c>
      <c r="C23" s="8" t="s">
        <v>305</v>
      </c>
      <c r="D23" s="27" t="n">
        <v>1</v>
      </c>
      <c r="E23" s="28" t="n">
        <v>3</v>
      </c>
      <c r="F23" s="26" t="n">
        <v>2</v>
      </c>
      <c r="G23" s="8" t="s">
        <v>306</v>
      </c>
      <c r="H23" s="8" t="s">
        <v>307</v>
      </c>
      <c r="I23" s="8" t="s">
        <v>308</v>
      </c>
      <c r="J23" s="8" t="s">
        <v>309</v>
      </c>
    </row>
    <row r="24" customFormat="false" ht="49.5" hidden="false" customHeight="true" outlineLevel="0" collapsed="false">
      <c r="A24" s="12" t="s">
        <v>298</v>
      </c>
      <c r="B24" s="8" t="s">
        <v>299</v>
      </c>
      <c r="C24" s="8" t="s">
        <v>310</v>
      </c>
      <c r="D24" s="27" t="n">
        <v>1</v>
      </c>
      <c r="E24" s="25" t="n">
        <v>4</v>
      </c>
      <c r="F24" s="29" t="n">
        <v>3</v>
      </c>
      <c r="G24" s="8" t="s">
        <v>311</v>
      </c>
      <c r="H24" s="8" t="s">
        <v>312</v>
      </c>
      <c r="I24" s="8" t="s">
        <v>313</v>
      </c>
      <c r="J24" s="8" t="s">
        <v>314</v>
      </c>
    </row>
    <row r="25" customFormat="false" ht="49.5" hidden="false" customHeight="true" outlineLevel="0" collapsed="false">
      <c r="A25" s="12" t="s">
        <v>298</v>
      </c>
      <c r="B25" s="8" t="s">
        <v>217</v>
      </c>
      <c r="C25" s="8" t="s">
        <v>315</v>
      </c>
      <c r="D25" s="27" t="n">
        <v>1</v>
      </c>
      <c r="E25" s="28" t="n">
        <v>3</v>
      </c>
      <c r="F25" s="26" t="n">
        <v>2</v>
      </c>
      <c r="G25" s="8" t="s">
        <v>316</v>
      </c>
      <c r="H25" s="8" t="s">
        <v>317</v>
      </c>
      <c r="I25" s="8" t="s">
        <v>318</v>
      </c>
      <c r="J25" s="8" t="s">
        <v>319</v>
      </c>
    </row>
    <row r="26" customFormat="false" ht="49.5" hidden="false" customHeight="true" outlineLevel="0" collapsed="false">
      <c r="A26" s="12" t="s">
        <v>320</v>
      </c>
      <c r="B26" s="8" t="s">
        <v>201</v>
      </c>
      <c r="C26" s="8" t="s">
        <v>321</v>
      </c>
      <c r="D26" s="27" t="n">
        <v>1</v>
      </c>
      <c r="E26" s="25" t="n">
        <v>4</v>
      </c>
      <c r="F26" s="29" t="n">
        <v>3</v>
      </c>
      <c r="G26" s="8" t="s">
        <v>322</v>
      </c>
      <c r="H26" s="8" t="s">
        <v>323</v>
      </c>
      <c r="I26" s="8" t="s">
        <v>324</v>
      </c>
      <c r="J26" s="8" t="s">
        <v>170</v>
      </c>
    </row>
    <row r="27" customFormat="false" ht="49.5" hidden="false" customHeight="true" outlineLevel="0" collapsed="false">
      <c r="A27" s="12" t="s">
        <v>320</v>
      </c>
      <c r="B27" s="8" t="s">
        <v>217</v>
      </c>
      <c r="C27" s="8" t="s">
        <v>325</v>
      </c>
      <c r="D27" s="24" t="n">
        <v>2</v>
      </c>
      <c r="E27" s="28" t="n">
        <v>3</v>
      </c>
      <c r="F27" s="30" t="n">
        <v>1</v>
      </c>
      <c r="G27" s="8" t="s">
        <v>326</v>
      </c>
      <c r="H27" s="8" t="s">
        <v>327</v>
      </c>
      <c r="I27" s="8" t="s">
        <v>328</v>
      </c>
      <c r="J27" s="8" t="s">
        <v>329</v>
      </c>
    </row>
    <row r="28" customFormat="false" ht="49.5" hidden="false" customHeight="true" outlineLevel="0" collapsed="false">
      <c r="A28" s="12" t="s">
        <v>320</v>
      </c>
      <c r="B28" s="8" t="s">
        <v>239</v>
      </c>
      <c r="C28" s="8" t="s">
        <v>330</v>
      </c>
      <c r="D28" s="27" t="n">
        <v>1</v>
      </c>
      <c r="E28" s="28" t="n">
        <v>3</v>
      </c>
      <c r="F28" s="26" t="n">
        <v>2</v>
      </c>
      <c r="G28" s="8" t="s">
        <v>331</v>
      </c>
      <c r="H28" s="8" t="s">
        <v>332</v>
      </c>
      <c r="I28" s="8" t="s">
        <v>333</v>
      </c>
      <c r="J28" s="8" t="s">
        <v>334</v>
      </c>
    </row>
    <row r="29" customFormat="false" ht="49.5" hidden="false" customHeight="true" outlineLevel="0" collapsed="false">
      <c r="A29" s="12" t="s">
        <v>335</v>
      </c>
      <c r="B29" s="8" t="s">
        <v>217</v>
      </c>
      <c r="C29" s="8" t="s">
        <v>336</v>
      </c>
      <c r="D29" s="24" t="n">
        <v>2</v>
      </c>
      <c r="E29" s="31" t="n">
        <v>5</v>
      </c>
      <c r="F29" s="29" t="n">
        <v>3</v>
      </c>
      <c r="G29" s="8" t="s">
        <v>337</v>
      </c>
      <c r="H29" s="8" t="s">
        <v>338</v>
      </c>
      <c r="I29" s="8" t="s">
        <v>339</v>
      </c>
      <c r="J29" s="8" t="s">
        <v>340</v>
      </c>
    </row>
    <row r="30" customFormat="false" ht="49.5" hidden="false" customHeight="true" outlineLevel="0" collapsed="false">
      <c r="A30" s="12" t="s">
        <v>335</v>
      </c>
      <c r="B30" s="8" t="s">
        <v>201</v>
      </c>
      <c r="C30" s="8" t="s">
        <v>341</v>
      </c>
      <c r="D30" s="27" t="n">
        <v>1</v>
      </c>
      <c r="E30" s="25" t="n">
        <v>4</v>
      </c>
      <c r="F30" s="29" t="n">
        <v>3</v>
      </c>
      <c r="G30" s="8" t="s">
        <v>342</v>
      </c>
      <c r="H30" s="8" t="s">
        <v>343</v>
      </c>
      <c r="I30" s="8" t="s">
        <v>344</v>
      </c>
      <c r="J30" s="8" t="s">
        <v>345</v>
      </c>
    </row>
    <row r="31" customFormat="false" ht="49.5" hidden="false" customHeight="true" outlineLevel="0" collapsed="false">
      <c r="A31" s="12" t="s">
        <v>335</v>
      </c>
      <c r="B31" s="8" t="s">
        <v>239</v>
      </c>
      <c r="C31" s="8" t="s">
        <v>346</v>
      </c>
      <c r="D31" s="24" t="n">
        <v>2</v>
      </c>
      <c r="E31" s="25" t="n">
        <v>4</v>
      </c>
      <c r="F31" s="26" t="n">
        <v>2</v>
      </c>
      <c r="G31" s="8" t="s">
        <v>347</v>
      </c>
      <c r="H31" s="8" t="s">
        <v>348</v>
      </c>
      <c r="I31" s="8" t="s">
        <v>349</v>
      </c>
      <c r="J31" s="8" t="s">
        <v>350</v>
      </c>
    </row>
    <row r="32" customFormat="false" ht="49.5" hidden="false" customHeight="true" outlineLevel="0" collapsed="false">
      <c r="A32" s="12" t="s">
        <v>351</v>
      </c>
      <c r="B32" s="8" t="s">
        <v>201</v>
      </c>
      <c r="C32" s="8" t="s">
        <v>352</v>
      </c>
      <c r="D32" s="27" t="n">
        <v>1</v>
      </c>
      <c r="E32" s="28" t="n">
        <v>3</v>
      </c>
      <c r="F32" s="26" t="n">
        <v>2</v>
      </c>
      <c r="G32" s="8" t="s">
        <v>353</v>
      </c>
      <c r="H32" s="8" t="s">
        <v>354</v>
      </c>
      <c r="I32" s="8" t="s">
        <v>355</v>
      </c>
      <c r="J32" s="8" t="s">
        <v>356</v>
      </c>
    </row>
    <row r="33" customFormat="false" ht="49.5" hidden="false" customHeight="true" outlineLevel="0" collapsed="false">
      <c r="A33" s="12" t="s">
        <v>351</v>
      </c>
      <c r="B33" s="8" t="s">
        <v>201</v>
      </c>
      <c r="C33" s="8" t="s">
        <v>357</v>
      </c>
      <c r="D33" s="27" t="n">
        <v>1</v>
      </c>
      <c r="E33" s="28" t="n">
        <v>3</v>
      </c>
      <c r="F33" s="26" t="n">
        <v>2</v>
      </c>
      <c r="G33" s="8" t="s">
        <v>358</v>
      </c>
      <c r="H33" s="8" t="s">
        <v>359</v>
      </c>
      <c r="I33" s="8" t="s">
        <v>360</v>
      </c>
      <c r="J33" s="8" t="s">
        <v>361</v>
      </c>
    </row>
    <row r="34" customFormat="false" ht="49.5" hidden="false" customHeight="true" outlineLevel="0" collapsed="false">
      <c r="A34" s="12" t="s">
        <v>362</v>
      </c>
      <c r="B34" s="8" t="s">
        <v>239</v>
      </c>
      <c r="C34" s="8" t="s">
        <v>363</v>
      </c>
      <c r="D34" s="28" t="n">
        <v>3</v>
      </c>
      <c r="E34" s="31" t="n">
        <v>5</v>
      </c>
      <c r="F34" s="26" t="n">
        <v>2</v>
      </c>
      <c r="G34" s="8" t="s">
        <v>364</v>
      </c>
      <c r="H34" s="8" t="s">
        <v>365</v>
      </c>
      <c r="I34" s="8" t="s">
        <v>366</v>
      </c>
      <c r="J34" s="8" t="s">
        <v>367</v>
      </c>
    </row>
    <row r="35" customFormat="false" ht="49.5" hidden="false" customHeight="true" outlineLevel="0" collapsed="false">
      <c r="A35" s="12" t="s">
        <v>362</v>
      </c>
      <c r="B35" s="8" t="s">
        <v>239</v>
      </c>
      <c r="C35" s="8" t="s">
        <v>368</v>
      </c>
      <c r="D35" s="24" t="n">
        <v>2</v>
      </c>
      <c r="E35" s="25" t="n">
        <v>4</v>
      </c>
      <c r="F35" s="26" t="n">
        <v>2</v>
      </c>
      <c r="G35" s="8" t="s">
        <v>369</v>
      </c>
      <c r="H35" s="8" t="s">
        <v>370</v>
      </c>
      <c r="I35" s="8" t="s">
        <v>371</v>
      </c>
      <c r="J35" s="8" t="s">
        <v>372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4" min="4" style="1" width="30"/>
    <col collapsed="false" customWidth="true" hidden="false" outlineLevel="0" max="6" min="5" style="1" width="36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18"/>
  </cols>
  <sheetData>
    <row r="1" customFormat="false" ht="39.75" hidden="false" customHeight="true" outlineLevel="0" collapsed="false">
      <c r="A1" s="21" t="s">
        <v>373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customFormat="false" ht="39" hidden="false" customHeight="true" outlineLevel="0" collapsed="false">
      <c r="A3" s="5" t="s">
        <v>100</v>
      </c>
      <c r="B3" s="5" t="s">
        <v>374</v>
      </c>
      <c r="C3" s="5" t="s">
        <v>375</v>
      </c>
      <c r="D3" s="5" t="s">
        <v>376</v>
      </c>
      <c r="E3" s="5" t="s">
        <v>377</v>
      </c>
      <c r="F3" s="5" t="s">
        <v>378</v>
      </c>
      <c r="G3" s="5" t="s">
        <v>379</v>
      </c>
      <c r="H3" s="5" t="s">
        <v>380</v>
      </c>
      <c r="I3" s="5" t="s">
        <v>381</v>
      </c>
    </row>
    <row r="4" customFormat="false" ht="69.75" hidden="false" customHeight="true" outlineLevel="0" collapsed="false">
      <c r="A4" s="12" t="s">
        <v>382</v>
      </c>
      <c r="B4" s="12" t="s">
        <v>383</v>
      </c>
      <c r="C4" s="12" t="s">
        <v>384</v>
      </c>
      <c r="D4" s="12" t="s">
        <v>385</v>
      </c>
      <c r="E4" s="12" t="s">
        <v>386</v>
      </c>
      <c r="F4" s="12" t="s">
        <v>387</v>
      </c>
      <c r="G4" s="12" t="s">
        <v>388</v>
      </c>
      <c r="H4" s="12" t="s">
        <v>389</v>
      </c>
      <c r="I4" s="22" t="s">
        <v>390</v>
      </c>
    </row>
    <row r="5" customFormat="false" ht="69.75" hidden="false" customHeight="true" outlineLevel="0" collapsed="false">
      <c r="A5" s="8" t="s">
        <v>391</v>
      </c>
      <c r="B5" s="8" t="s">
        <v>392</v>
      </c>
      <c r="C5" s="8" t="s">
        <v>393</v>
      </c>
      <c r="D5" s="8" t="s">
        <v>394</v>
      </c>
      <c r="E5" s="8" t="s">
        <v>395</v>
      </c>
      <c r="F5" s="8" t="s">
        <v>396</v>
      </c>
      <c r="G5" s="8" t="s">
        <v>397</v>
      </c>
      <c r="H5" s="8" t="s">
        <v>398</v>
      </c>
      <c r="I5" s="32" t="s">
        <v>399</v>
      </c>
    </row>
    <row r="6" customFormat="false" ht="69.75" hidden="false" customHeight="true" outlineLevel="0" collapsed="false">
      <c r="A6" s="12" t="s">
        <v>400</v>
      </c>
      <c r="B6" s="12" t="s">
        <v>401</v>
      </c>
      <c r="C6" s="12" t="s">
        <v>402</v>
      </c>
      <c r="D6" s="12" t="s">
        <v>403</v>
      </c>
      <c r="E6" s="12" t="s">
        <v>404</v>
      </c>
      <c r="F6" s="12" t="s">
        <v>405</v>
      </c>
      <c r="G6" s="12" t="s">
        <v>406</v>
      </c>
      <c r="H6" s="12" t="s">
        <v>407</v>
      </c>
      <c r="I6" s="32" t="s">
        <v>408</v>
      </c>
    </row>
    <row r="7" customFormat="false" ht="69.75" hidden="false" customHeight="true" outlineLevel="0" collapsed="false">
      <c r="A7" s="8" t="s">
        <v>409</v>
      </c>
      <c r="B7" s="8" t="s">
        <v>410</v>
      </c>
      <c r="C7" s="8" t="s">
        <v>411</v>
      </c>
      <c r="D7" s="8" t="s">
        <v>412</v>
      </c>
      <c r="E7" s="8" t="s">
        <v>413</v>
      </c>
      <c r="F7" s="8" t="s">
        <v>414</v>
      </c>
      <c r="G7" s="8" t="s">
        <v>415</v>
      </c>
      <c r="H7" s="8" t="s">
        <v>416</v>
      </c>
      <c r="I7" s="7" t="s">
        <v>417</v>
      </c>
    </row>
    <row r="8" customFormat="false" ht="69.75" hidden="false" customHeight="true" outlineLevel="0" collapsed="false">
      <c r="A8" s="12" t="s">
        <v>418</v>
      </c>
      <c r="B8" s="12" t="s">
        <v>419</v>
      </c>
      <c r="C8" s="12" t="s">
        <v>420</v>
      </c>
      <c r="D8" s="12" t="s">
        <v>421</v>
      </c>
      <c r="E8" s="12" t="s">
        <v>422</v>
      </c>
      <c r="F8" s="12" t="s">
        <v>423</v>
      </c>
      <c r="G8" s="12" t="s">
        <v>424</v>
      </c>
      <c r="H8" s="12" t="s">
        <v>425</v>
      </c>
      <c r="I8" s="7" t="s">
        <v>417</v>
      </c>
    </row>
    <row r="9" customFormat="false" ht="69.75" hidden="false" customHeight="true" outlineLevel="0" collapsed="false">
      <c r="A9" s="8" t="s">
        <v>426</v>
      </c>
      <c r="B9" s="8" t="s">
        <v>427</v>
      </c>
      <c r="C9" s="8" t="s">
        <v>428</v>
      </c>
      <c r="D9" s="8" t="s">
        <v>429</v>
      </c>
      <c r="E9" s="8" t="s">
        <v>430</v>
      </c>
      <c r="F9" s="8" t="s">
        <v>431</v>
      </c>
      <c r="G9" s="8" t="s">
        <v>432</v>
      </c>
      <c r="H9" s="8" t="s">
        <v>433</v>
      </c>
      <c r="I9" s="22" t="s">
        <v>390</v>
      </c>
    </row>
    <row r="10" customFormat="false" ht="69.75" hidden="false" customHeight="true" outlineLevel="0" collapsed="false">
      <c r="A10" s="12" t="s">
        <v>434</v>
      </c>
      <c r="B10" s="12" t="s">
        <v>435</v>
      </c>
      <c r="C10" s="12" t="s">
        <v>436</v>
      </c>
      <c r="D10" s="12" t="s">
        <v>437</v>
      </c>
      <c r="E10" s="12" t="s">
        <v>438</v>
      </c>
      <c r="F10" s="12" t="s">
        <v>439</v>
      </c>
      <c r="G10" s="12" t="s">
        <v>440</v>
      </c>
      <c r="H10" s="12" t="s">
        <v>441</v>
      </c>
      <c r="I10" s="33" t="s">
        <v>442</v>
      </c>
    </row>
    <row r="11" customFormat="false" ht="69.75" hidden="false" customHeight="true" outlineLevel="0" collapsed="false">
      <c r="A11" s="8" t="s">
        <v>443</v>
      </c>
      <c r="B11" s="8" t="s">
        <v>444</v>
      </c>
      <c r="C11" s="8" t="s">
        <v>445</v>
      </c>
      <c r="D11" s="8" t="s">
        <v>446</v>
      </c>
      <c r="E11" s="8" t="s">
        <v>447</v>
      </c>
      <c r="F11" s="8" t="s">
        <v>448</v>
      </c>
      <c r="G11" s="8" t="s">
        <v>449</v>
      </c>
      <c r="H11" s="8" t="s">
        <v>450</v>
      </c>
      <c r="I11" s="7" t="s">
        <v>451</v>
      </c>
    </row>
    <row r="12" customFormat="false" ht="69.75" hidden="false" customHeight="true" outlineLevel="0" collapsed="false">
      <c r="A12" s="12" t="s">
        <v>452</v>
      </c>
      <c r="B12" s="12" t="s">
        <v>453</v>
      </c>
      <c r="C12" s="12" t="s">
        <v>454</v>
      </c>
      <c r="D12" s="12" t="s">
        <v>455</v>
      </c>
      <c r="E12" s="12" t="s">
        <v>456</v>
      </c>
      <c r="F12" s="12" t="s">
        <v>457</v>
      </c>
      <c r="G12" s="12" t="s">
        <v>458</v>
      </c>
      <c r="H12" s="12" t="s">
        <v>459</v>
      </c>
      <c r="I12" s="33" t="s">
        <v>460</v>
      </c>
    </row>
    <row r="13" customFormat="false" ht="69.75" hidden="false" customHeight="true" outlineLevel="0" collapsed="false">
      <c r="A13" s="8" t="s">
        <v>461</v>
      </c>
      <c r="B13" s="8" t="s">
        <v>462</v>
      </c>
      <c r="C13" s="8" t="s">
        <v>463</v>
      </c>
      <c r="D13" s="8" t="s">
        <v>464</v>
      </c>
      <c r="E13" s="8" t="s">
        <v>465</v>
      </c>
      <c r="F13" s="8" t="s">
        <v>466</v>
      </c>
      <c r="G13" s="8" t="s">
        <v>467</v>
      </c>
      <c r="H13" s="8" t="s">
        <v>468</v>
      </c>
      <c r="I13" s="7" t="s">
        <v>417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7" min="6" style="1" width="10"/>
    <col collapsed="false" customWidth="true" hidden="false" outlineLevel="0" max="8" min="8" style="1" width="32"/>
    <col collapsed="false" customWidth="true" hidden="false" outlineLevel="0" max="9" min="9" style="1" width="26"/>
    <col collapsed="false" customWidth="true" hidden="false" outlineLevel="0" max="10" min="10" style="1" width="18"/>
    <col collapsed="false" customWidth="true" hidden="false" outlineLevel="0" max="12" min="11" style="1" width="28"/>
    <col collapsed="false" customWidth="true" hidden="false" outlineLevel="0" max="13" min="13" style="1" width="12"/>
    <col collapsed="false" customWidth="true" hidden="false" outlineLevel="0" max="14" min="14" style="1" width="14"/>
  </cols>
  <sheetData>
    <row r="1" customFormat="false" ht="39.75" hidden="false" customHeight="true" outlineLevel="0" collapsed="false">
      <c r="A1" s="21" t="s">
        <v>469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30" hidden="false" customHeight="true" outlineLevel="0" collapsed="false">
      <c r="A2" s="34" t="s">
        <v>470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4" customFormat="false" ht="15" hidden="false" customHeight="true" outlineLevel="0" collapsed="false">
      <c r="A4" s="35" t="s">
        <v>100</v>
      </c>
      <c r="B4" s="35" t="s">
        <v>471</v>
      </c>
      <c r="C4" s="35" t="s">
        <v>472</v>
      </c>
      <c r="D4" s="35" t="s">
        <v>59</v>
      </c>
      <c r="E4" s="35" t="s">
        <v>473</v>
      </c>
      <c r="F4" s="35" t="s">
        <v>474</v>
      </c>
      <c r="G4" s="35" t="s">
        <v>475</v>
      </c>
      <c r="H4" s="35" t="s">
        <v>476</v>
      </c>
      <c r="I4" s="35" t="s">
        <v>477</v>
      </c>
      <c r="J4" s="35" t="s">
        <v>478</v>
      </c>
      <c r="K4" s="35" t="s">
        <v>479</v>
      </c>
      <c r="L4" s="35" t="s">
        <v>480</v>
      </c>
      <c r="M4" s="35" t="s">
        <v>65</v>
      </c>
      <c r="N4" s="35" t="s">
        <v>481</v>
      </c>
    </row>
    <row r="5" customFormat="false" ht="54.75" hidden="false" customHeight="true" outlineLevel="0" collapsed="false">
      <c r="A5" s="16" t="s">
        <v>482</v>
      </c>
      <c r="B5" s="16" t="s">
        <v>483</v>
      </c>
      <c r="C5" s="16" t="s">
        <v>484</v>
      </c>
      <c r="D5" s="16" t="s">
        <v>485</v>
      </c>
      <c r="E5" s="36" t="s">
        <v>486</v>
      </c>
      <c r="F5" s="16" t="s">
        <v>487</v>
      </c>
      <c r="G5" s="16" t="s">
        <v>488</v>
      </c>
      <c r="H5" s="16" t="s">
        <v>489</v>
      </c>
      <c r="I5" s="16" t="s">
        <v>490</v>
      </c>
      <c r="J5" s="16" t="s">
        <v>491</v>
      </c>
      <c r="K5" s="16" t="s">
        <v>492</v>
      </c>
      <c r="L5" s="16" t="s">
        <v>493</v>
      </c>
      <c r="M5" s="22" t="s">
        <v>72</v>
      </c>
      <c r="N5" s="16" t="s">
        <v>494</v>
      </c>
    </row>
    <row r="6" customFormat="false" ht="54.75" hidden="false" customHeight="true" outlineLevel="0" collapsed="false">
      <c r="A6" s="16" t="s">
        <v>495</v>
      </c>
      <c r="B6" s="16" t="s">
        <v>496</v>
      </c>
      <c r="C6" s="16" t="s">
        <v>393</v>
      </c>
      <c r="D6" s="16" t="s">
        <v>497</v>
      </c>
      <c r="E6" s="36" t="s">
        <v>486</v>
      </c>
      <c r="F6" s="16" t="s">
        <v>498</v>
      </c>
      <c r="G6" s="16" t="s">
        <v>499</v>
      </c>
      <c r="H6" s="16" t="s">
        <v>500</v>
      </c>
      <c r="I6" s="16" t="s">
        <v>501</v>
      </c>
      <c r="J6" s="16" t="s">
        <v>502</v>
      </c>
      <c r="K6" s="16" t="s">
        <v>503</v>
      </c>
      <c r="L6" s="16" t="s">
        <v>504</v>
      </c>
      <c r="M6" s="22" t="s">
        <v>72</v>
      </c>
      <c r="N6" s="16" t="s">
        <v>505</v>
      </c>
    </row>
    <row r="7" customFormat="false" ht="54.75" hidden="false" customHeight="true" outlineLevel="0" collapsed="false">
      <c r="A7" s="16" t="s">
        <v>506</v>
      </c>
      <c r="B7" s="16" t="s">
        <v>507</v>
      </c>
      <c r="C7" s="16" t="s">
        <v>508</v>
      </c>
      <c r="D7" s="16" t="s">
        <v>509</v>
      </c>
      <c r="E7" s="36" t="s">
        <v>486</v>
      </c>
      <c r="F7" s="16" t="s">
        <v>498</v>
      </c>
      <c r="G7" s="16" t="s">
        <v>510</v>
      </c>
      <c r="H7" s="16" t="s">
        <v>511</v>
      </c>
      <c r="I7" s="16" t="s">
        <v>512</v>
      </c>
      <c r="J7" s="16" t="s">
        <v>513</v>
      </c>
      <c r="K7" s="16" t="s">
        <v>514</v>
      </c>
      <c r="L7" s="16" t="s">
        <v>515</v>
      </c>
      <c r="M7" s="22" t="s">
        <v>72</v>
      </c>
      <c r="N7" s="16" t="s">
        <v>516</v>
      </c>
    </row>
    <row r="8" customFormat="false" ht="54.75" hidden="false" customHeight="true" outlineLevel="0" collapsed="false">
      <c r="A8" s="16" t="s">
        <v>517</v>
      </c>
      <c r="B8" s="16" t="s">
        <v>518</v>
      </c>
      <c r="C8" s="16" t="s">
        <v>519</v>
      </c>
      <c r="D8" s="16" t="s">
        <v>485</v>
      </c>
      <c r="E8" s="36" t="s">
        <v>486</v>
      </c>
      <c r="F8" s="16" t="s">
        <v>487</v>
      </c>
      <c r="G8" s="16" t="s">
        <v>498</v>
      </c>
      <c r="H8" s="16" t="s">
        <v>520</v>
      </c>
      <c r="I8" s="16" t="s">
        <v>521</v>
      </c>
      <c r="J8" s="16" t="s">
        <v>415</v>
      </c>
      <c r="K8" s="16" t="s">
        <v>522</v>
      </c>
      <c r="L8" s="16" t="s">
        <v>523</v>
      </c>
      <c r="M8" s="22" t="s">
        <v>72</v>
      </c>
      <c r="N8" s="16" t="s">
        <v>524</v>
      </c>
    </row>
    <row r="9" customFormat="false" ht="54.75" hidden="false" customHeight="true" outlineLevel="0" collapsed="false">
      <c r="A9" s="6" t="s">
        <v>525</v>
      </c>
      <c r="B9" s="6" t="s">
        <v>526</v>
      </c>
      <c r="C9" s="6" t="s">
        <v>527</v>
      </c>
      <c r="D9" s="6" t="s">
        <v>497</v>
      </c>
      <c r="E9" s="23" t="s">
        <v>528</v>
      </c>
      <c r="F9" s="6" t="s">
        <v>510</v>
      </c>
      <c r="G9" s="6" t="s">
        <v>529</v>
      </c>
      <c r="H9" s="6" t="s">
        <v>530</v>
      </c>
      <c r="I9" s="6" t="s">
        <v>531</v>
      </c>
      <c r="J9" s="6" t="s">
        <v>532</v>
      </c>
      <c r="K9" s="6" t="s">
        <v>533</v>
      </c>
      <c r="L9" s="6" t="s">
        <v>534</v>
      </c>
      <c r="M9" s="22" t="s">
        <v>72</v>
      </c>
      <c r="N9" s="6" t="s">
        <v>535</v>
      </c>
    </row>
    <row r="10" customFormat="false" ht="54.75" hidden="false" customHeight="true" outlineLevel="0" collapsed="false">
      <c r="A10" s="6" t="s">
        <v>536</v>
      </c>
      <c r="B10" s="6" t="s">
        <v>537</v>
      </c>
      <c r="C10" s="6" t="s">
        <v>538</v>
      </c>
      <c r="D10" s="6" t="s">
        <v>497</v>
      </c>
      <c r="E10" s="23" t="s">
        <v>528</v>
      </c>
      <c r="F10" s="6" t="s">
        <v>510</v>
      </c>
      <c r="G10" s="6" t="s">
        <v>539</v>
      </c>
      <c r="H10" s="6" t="s">
        <v>540</v>
      </c>
      <c r="I10" s="6" t="s">
        <v>541</v>
      </c>
      <c r="J10" s="6" t="s">
        <v>542</v>
      </c>
      <c r="K10" s="6" t="s">
        <v>543</v>
      </c>
      <c r="L10" s="6" t="s">
        <v>544</v>
      </c>
      <c r="M10" s="22" t="s">
        <v>72</v>
      </c>
      <c r="N10" s="6" t="s">
        <v>545</v>
      </c>
    </row>
    <row r="11" customFormat="false" ht="54.75" hidden="false" customHeight="true" outlineLevel="0" collapsed="false">
      <c r="A11" s="6" t="s">
        <v>546</v>
      </c>
      <c r="B11" s="6" t="s">
        <v>547</v>
      </c>
      <c r="C11" s="6" t="s">
        <v>548</v>
      </c>
      <c r="D11" s="6" t="s">
        <v>549</v>
      </c>
      <c r="E11" s="23" t="s">
        <v>528</v>
      </c>
      <c r="F11" s="6" t="s">
        <v>550</v>
      </c>
      <c r="G11" s="6" t="s">
        <v>551</v>
      </c>
      <c r="H11" s="6" t="s">
        <v>552</v>
      </c>
      <c r="I11" s="6" t="s">
        <v>553</v>
      </c>
      <c r="J11" s="6" t="s">
        <v>424</v>
      </c>
      <c r="K11" s="6" t="s">
        <v>554</v>
      </c>
      <c r="L11" s="6" t="s">
        <v>555</v>
      </c>
      <c r="M11" s="7" t="s">
        <v>85</v>
      </c>
      <c r="N11" s="6" t="s">
        <v>556</v>
      </c>
    </row>
    <row r="12" customFormat="false" ht="54.75" hidden="false" customHeight="true" outlineLevel="0" collapsed="false">
      <c r="A12" s="6" t="s">
        <v>557</v>
      </c>
      <c r="B12" s="6" t="s">
        <v>558</v>
      </c>
      <c r="C12" s="6" t="s">
        <v>454</v>
      </c>
      <c r="D12" s="6" t="s">
        <v>559</v>
      </c>
      <c r="E12" s="23" t="s">
        <v>528</v>
      </c>
      <c r="F12" s="6" t="s">
        <v>550</v>
      </c>
      <c r="G12" s="6" t="s">
        <v>529</v>
      </c>
      <c r="H12" s="6" t="s">
        <v>560</v>
      </c>
      <c r="I12" s="6" t="s">
        <v>561</v>
      </c>
      <c r="J12" s="6" t="s">
        <v>458</v>
      </c>
      <c r="K12" s="6" t="s">
        <v>562</v>
      </c>
      <c r="L12" s="6" t="s">
        <v>563</v>
      </c>
      <c r="M12" s="33" t="s">
        <v>92</v>
      </c>
      <c r="N12" s="6" t="s">
        <v>564</v>
      </c>
    </row>
    <row r="13" customFormat="false" ht="54.75" hidden="false" customHeight="true" outlineLevel="0" collapsed="false">
      <c r="A13" s="6" t="s">
        <v>565</v>
      </c>
      <c r="B13" s="6" t="s">
        <v>566</v>
      </c>
      <c r="C13" s="6" t="s">
        <v>463</v>
      </c>
      <c r="D13" s="6" t="s">
        <v>509</v>
      </c>
      <c r="E13" s="23" t="s">
        <v>528</v>
      </c>
      <c r="F13" s="6" t="s">
        <v>550</v>
      </c>
      <c r="G13" s="6" t="s">
        <v>529</v>
      </c>
      <c r="H13" s="6" t="s">
        <v>567</v>
      </c>
      <c r="I13" s="6" t="s">
        <v>568</v>
      </c>
      <c r="J13" s="6" t="s">
        <v>467</v>
      </c>
      <c r="K13" s="6" t="s">
        <v>569</v>
      </c>
      <c r="L13" s="6" t="s">
        <v>570</v>
      </c>
      <c r="M13" s="7" t="s">
        <v>85</v>
      </c>
      <c r="N13" s="6" t="s">
        <v>571</v>
      </c>
    </row>
    <row r="14" customFormat="false" ht="54.75" hidden="false" customHeight="true" outlineLevel="0" collapsed="false">
      <c r="A14" s="18" t="s">
        <v>572</v>
      </c>
      <c r="B14" s="18" t="s">
        <v>573</v>
      </c>
      <c r="C14" s="18" t="s">
        <v>574</v>
      </c>
      <c r="D14" s="18" t="s">
        <v>497</v>
      </c>
      <c r="E14" s="37" t="s">
        <v>575</v>
      </c>
      <c r="F14" s="18" t="s">
        <v>576</v>
      </c>
      <c r="G14" s="18" t="s">
        <v>17</v>
      </c>
      <c r="H14" s="18" t="s">
        <v>577</v>
      </c>
      <c r="I14" s="18" t="s">
        <v>578</v>
      </c>
      <c r="J14" s="18" t="s">
        <v>579</v>
      </c>
      <c r="K14" s="18" t="s">
        <v>580</v>
      </c>
      <c r="L14" s="18" t="s">
        <v>581</v>
      </c>
      <c r="M14" s="22" t="s">
        <v>72</v>
      </c>
      <c r="N14" s="18" t="s">
        <v>582</v>
      </c>
    </row>
    <row r="15" customFormat="false" ht="54.75" hidden="false" customHeight="true" outlineLevel="0" collapsed="false">
      <c r="A15" s="18" t="s">
        <v>583</v>
      </c>
      <c r="B15" s="18" t="s">
        <v>584</v>
      </c>
      <c r="C15" s="18" t="s">
        <v>585</v>
      </c>
      <c r="D15" s="18" t="s">
        <v>183</v>
      </c>
      <c r="E15" s="37" t="s">
        <v>575</v>
      </c>
      <c r="F15" s="18" t="s">
        <v>586</v>
      </c>
      <c r="G15" s="18" t="s">
        <v>587</v>
      </c>
      <c r="H15" s="18" t="s">
        <v>588</v>
      </c>
      <c r="I15" s="18" t="s">
        <v>589</v>
      </c>
      <c r="J15" s="18" t="s">
        <v>590</v>
      </c>
      <c r="K15" s="18" t="s">
        <v>591</v>
      </c>
      <c r="L15" s="18" t="s">
        <v>592</v>
      </c>
      <c r="M15" s="33" t="s">
        <v>92</v>
      </c>
      <c r="N15" s="18" t="s">
        <v>593</v>
      </c>
    </row>
    <row r="16" customFormat="false" ht="54.75" hidden="false" customHeight="true" outlineLevel="0" collapsed="false">
      <c r="A16" s="18" t="s">
        <v>594</v>
      </c>
      <c r="B16" s="18" t="s">
        <v>595</v>
      </c>
      <c r="C16" s="18" t="s">
        <v>596</v>
      </c>
      <c r="D16" s="18" t="s">
        <v>549</v>
      </c>
      <c r="E16" s="37" t="s">
        <v>575</v>
      </c>
      <c r="F16" s="18" t="s">
        <v>586</v>
      </c>
      <c r="G16" s="18" t="s">
        <v>17</v>
      </c>
      <c r="H16" s="18" t="s">
        <v>597</v>
      </c>
      <c r="I16" s="18" t="s">
        <v>598</v>
      </c>
      <c r="J16" s="18" t="s">
        <v>599</v>
      </c>
      <c r="K16" s="18" t="s">
        <v>600</v>
      </c>
      <c r="L16" s="18" t="s">
        <v>601</v>
      </c>
      <c r="M16" s="7" t="s">
        <v>85</v>
      </c>
      <c r="N16" s="18" t="s">
        <v>602</v>
      </c>
    </row>
    <row r="17" customFormat="false" ht="54.75" hidden="false" customHeight="true" outlineLevel="0" collapsed="false">
      <c r="A17" s="19" t="s">
        <v>603</v>
      </c>
      <c r="B17" s="19" t="s">
        <v>604</v>
      </c>
      <c r="C17" s="19" t="s">
        <v>605</v>
      </c>
      <c r="D17" s="19" t="s">
        <v>485</v>
      </c>
      <c r="E17" s="38" t="s">
        <v>606</v>
      </c>
      <c r="F17" s="19" t="s">
        <v>17</v>
      </c>
      <c r="G17" s="19" t="s">
        <v>607</v>
      </c>
      <c r="H17" s="19" t="s">
        <v>608</v>
      </c>
      <c r="I17" s="19" t="s">
        <v>609</v>
      </c>
      <c r="J17" s="19" t="s">
        <v>610</v>
      </c>
      <c r="K17" s="19" t="s">
        <v>611</v>
      </c>
      <c r="L17" s="19" t="s">
        <v>612</v>
      </c>
      <c r="M17" s="7" t="s">
        <v>85</v>
      </c>
      <c r="N17" s="19" t="s">
        <v>613</v>
      </c>
    </row>
    <row r="18" customFormat="false" ht="54.75" hidden="false" customHeight="true" outlineLevel="0" collapsed="false">
      <c r="A18" s="19" t="s">
        <v>614</v>
      </c>
      <c r="B18" s="19" t="s">
        <v>615</v>
      </c>
      <c r="C18" s="19" t="s">
        <v>616</v>
      </c>
      <c r="D18" s="19" t="s">
        <v>485</v>
      </c>
      <c r="E18" s="38" t="s">
        <v>606</v>
      </c>
      <c r="F18" s="19" t="s">
        <v>617</v>
      </c>
      <c r="G18" s="19" t="s">
        <v>607</v>
      </c>
      <c r="H18" s="19" t="s">
        <v>618</v>
      </c>
      <c r="I18" s="19" t="s">
        <v>619</v>
      </c>
      <c r="J18" s="19" t="s">
        <v>620</v>
      </c>
      <c r="K18" s="19" t="s">
        <v>621</v>
      </c>
      <c r="L18" s="19" t="s">
        <v>622</v>
      </c>
      <c r="M18" s="7" t="s">
        <v>85</v>
      </c>
      <c r="N18" s="19" t="s">
        <v>623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38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2" min="11" style="1" width="12"/>
  </cols>
  <sheetData>
    <row r="1" customFormat="false" ht="39.75" hidden="false" customHeight="true" outlineLevel="0" collapsed="false">
      <c r="A1" s="21" t="s">
        <v>624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customFormat="false" ht="26.25" hidden="false" customHeight="true" outlineLevel="0" collapsed="false">
      <c r="A3" s="5" t="s">
        <v>100</v>
      </c>
      <c r="B3" s="5" t="s">
        <v>625</v>
      </c>
      <c r="C3" s="5" t="s">
        <v>626</v>
      </c>
      <c r="D3" s="5" t="s">
        <v>627</v>
      </c>
      <c r="E3" s="5" t="s">
        <v>628</v>
      </c>
      <c r="F3" s="5" t="s">
        <v>629</v>
      </c>
      <c r="G3" s="5" t="s">
        <v>630</v>
      </c>
      <c r="H3" s="5" t="s">
        <v>631</v>
      </c>
      <c r="I3" s="5" t="s">
        <v>632</v>
      </c>
      <c r="J3" s="5" t="s">
        <v>633</v>
      </c>
      <c r="K3" s="5" t="s">
        <v>65</v>
      </c>
      <c r="L3" s="5" t="s">
        <v>634</v>
      </c>
    </row>
    <row r="4" customFormat="false" ht="69.75" hidden="false" customHeight="true" outlineLevel="0" collapsed="false">
      <c r="A4" s="12" t="s">
        <v>635</v>
      </c>
      <c r="B4" s="12" t="s">
        <v>636</v>
      </c>
      <c r="C4" s="12" t="s">
        <v>637</v>
      </c>
      <c r="D4" s="12" t="s">
        <v>638</v>
      </c>
      <c r="E4" s="12" t="s">
        <v>639</v>
      </c>
      <c r="F4" s="12" t="s">
        <v>640</v>
      </c>
      <c r="G4" s="18" t="s">
        <v>641</v>
      </c>
      <c r="H4" s="12" t="s">
        <v>642</v>
      </c>
      <c r="I4" s="12" t="s">
        <v>643</v>
      </c>
      <c r="J4" s="39" t="s">
        <v>644</v>
      </c>
      <c r="K4" s="22" t="s">
        <v>72</v>
      </c>
      <c r="L4" s="12" t="s">
        <v>645</v>
      </c>
    </row>
    <row r="5" customFormat="false" ht="69.75" hidden="false" customHeight="true" outlineLevel="0" collapsed="false">
      <c r="A5" s="8" t="s">
        <v>646</v>
      </c>
      <c r="B5" s="8" t="s">
        <v>647</v>
      </c>
      <c r="C5" s="8" t="s">
        <v>648</v>
      </c>
      <c r="D5" s="12" t="s">
        <v>649</v>
      </c>
      <c r="E5" s="8" t="s">
        <v>650</v>
      </c>
      <c r="F5" s="8" t="s">
        <v>651</v>
      </c>
      <c r="G5" s="18" t="s">
        <v>652</v>
      </c>
      <c r="H5" s="8" t="s">
        <v>653</v>
      </c>
      <c r="I5" s="8" t="s">
        <v>654</v>
      </c>
      <c r="J5" s="39" t="s">
        <v>655</v>
      </c>
      <c r="K5" s="22" t="s">
        <v>72</v>
      </c>
      <c r="L5" s="8" t="s">
        <v>656</v>
      </c>
    </row>
    <row r="6" customFormat="false" ht="69.75" hidden="false" customHeight="true" outlineLevel="0" collapsed="false">
      <c r="A6" s="12" t="s">
        <v>657</v>
      </c>
      <c r="B6" s="12" t="s">
        <v>658</v>
      </c>
      <c r="C6" s="12" t="s">
        <v>659</v>
      </c>
      <c r="D6" s="12" t="s">
        <v>660</v>
      </c>
      <c r="E6" s="12" t="s">
        <v>661</v>
      </c>
      <c r="F6" s="12" t="s">
        <v>662</v>
      </c>
      <c r="G6" s="18" t="s">
        <v>663</v>
      </c>
      <c r="H6" s="12" t="s">
        <v>664</v>
      </c>
      <c r="I6" s="12" t="s">
        <v>665</v>
      </c>
      <c r="J6" s="39" t="s">
        <v>666</v>
      </c>
      <c r="K6" s="22" t="s">
        <v>72</v>
      </c>
      <c r="L6" s="12" t="s">
        <v>656</v>
      </c>
    </row>
    <row r="7" customFormat="false" ht="69.75" hidden="false" customHeight="true" outlineLevel="0" collapsed="false">
      <c r="A7" s="8" t="s">
        <v>667</v>
      </c>
      <c r="B7" s="8" t="s">
        <v>668</v>
      </c>
      <c r="C7" s="8" t="s">
        <v>669</v>
      </c>
      <c r="D7" s="12" t="s">
        <v>670</v>
      </c>
      <c r="E7" s="8" t="s">
        <v>671</v>
      </c>
      <c r="F7" s="8" t="s">
        <v>672</v>
      </c>
      <c r="G7" s="18" t="s">
        <v>673</v>
      </c>
      <c r="H7" s="8" t="s">
        <v>674</v>
      </c>
      <c r="I7" s="8" t="s">
        <v>675</v>
      </c>
      <c r="J7" s="39" t="s">
        <v>676</v>
      </c>
      <c r="K7" s="7" t="s">
        <v>85</v>
      </c>
      <c r="L7" s="8" t="s">
        <v>677</v>
      </c>
    </row>
    <row r="8" customFormat="false" ht="69.75" hidden="false" customHeight="true" outlineLevel="0" collapsed="false">
      <c r="A8" s="12" t="s">
        <v>678</v>
      </c>
      <c r="B8" s="12" t="s">
        <v>679</v>
      </c>
      <c r="C8" s="12" t="s">
        <v>680</v>
      </c>
      <c r="D8" s="12" t="s">
        <v>681</v>
      </c>
      <c r="E8" s="12" t="s">
        <v>682</v>
      </c>
      <c r="F8" s="12" t="s">
        <v>683</v>
      </c>
      <c r="G8" s="18" t="s">
        <v>684</v>
      </c>
      <c r="H8" s="12" t="s">
        <v>685</v>
      </c>
      <c r="I8" s="12" t="s">
        <v>686</v>
      </c>
      <c r="J8" s="39" t="s">
        <v>687</v>
      </c>
      <c r="K8" s="7" t="s">
        <v>85</v>
      </c>
      <c r="L8" s="12" t="s">
        <v>656</v>
      </c>
    </row>
    <row r="9" customFormat="false" ht="69.75" hidden="false" customHeight="true" outlineLevel="0" collapsed="false">
      <c r="A9" s="8" t="s">
        <v>688</v>
      </c>
      <c r="B9" s="8" t="s">
        <v>689</v>
      </c>
      <c r="C9" s="8" t="s">
        <v>690</v>
      </c>
      <c r="D9" s="12" t="s">
        <v>691</v>
      </c>
      <c r="E9" s="8" t="s">
        <v>692</v>
      </c>
      <c r="F9" s="8" t="s">
        <v>693</v>
      </c>
      <c r="G9" s="18" t="s">
        <v>694</v>
      </c>
      <c r="H9" s="8" t="s">
        <v>695</v>
      </c>
      <c r="I9" s="8" t="s">
        <v>693</v>
      </c>
      <c r="J9" s="39" t="s">
        <v>696</v>
      </c>
      <c r="K9" s="7" t="s">
        <v>85</v>
      </c>
      <c r="L9" s="8" t="s">
        <v>697</v>
      </c>
    </row>
    <row r="10" customFormat="false" ht="69.75" hidden="false" customHeight="true" outlineLevel="0" collapsed="false">
      <c r="A10" s="12" t="s">
        <v>698</v>
      </c>
      <c r="B10" s="12" t="s">
        <v>699</v>
      </c>
      <c r="C10" s="12" t="s">
        <v>700</v>
      </c>
      <c r="D10" s="12" t="s">
        <v>701</v>
      </c>
      <c r="E10" s="12" t="s">
        <v>702</v>
      </c>
      <c r="F10" s="12" t="s">
        <v>703</v>
      </c>
      <c r="G10" s="18" t="s">
        <v>704</v>
      </c>
      <c r="H10" s="12" t="s">
        <v>705</v>
      </c>
      <c r="I10" s="12" t="s">
        <v>706</v>
      </c>
      <c r="J10" s="39" t="s">
        <v>707</v>
      </c>
      <c r="K10" s="33" t="s">
        <v>92</v>
      </c>
      <c r="L10" s="12" t="s">
        <v>587</v>
      </c>
    </row>
    <row r="25" customFormat="false" ht="39.75" hidden="false" customHeight="true" outlineLevel="0" collapsed="false">
      <c r="A25" s="40" t="s">
        <v>708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</row>
  </sheetData>
  <mergeCells count="2">
    <mergeCell ref="A1:L1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4" min="4" style="1" width="26"/>
    <col collapsed="false" customWidth="true" hidden="false" outlineLevel="0" max="5" min="5" style="1" width="30"/>
    <col collapsed="false" customWidth="true" hidden="false" outlineLevel="0" max="6" min="6" style="1" width="20"/>
    <col collapsed="false" customWidth="true" hidden="false" outlineLevel="0" max="7" min="7" style="1" width="30"/>
    <col collapsed="false" customWidth="true" hidden="false" outlineLevel="0" max="8" min="8" style="1" width="28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39.75" hidden="false" customHeight="true" outlineLevel="0" collapsed="false">
      <c r="A1" s="21" t="s">
        <v>709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24.75" hidden="false" customHeight="true" outlineLevel="0" collapsed="false">
      <c r="A2" s="41" t="s">
        <v>710</v>
      </c>
      <c r="B2" s="41"/>
      <c r="C2" s="41"/>
      <c r="D2" s="41"/>
      <c r="E2" s="41"/>
      <c r="F2" s="41"/>
      <c r="G2" s="41"/>
      <c r="H2" s="41"/>
      <c r="I2" s="41"/>
      <c r="J2" s="41"/>
    </row>
    <row r="4" customFormat="false" ht="26.25" hidden="false" customHeight="true" outlineLevel="0" collapsed="false">
      <c r="A4" s="5" t="s">
        <v>100</v>
      </c>
      <c r="B4" s="5" t="s">
        <v>711</v>
      </c>
      <c r="C4" s="5" t="s">
        <v>712</v>
      </c>
      <c r="D4" s="5" t="s">
        <v>713</v>
      </c>
      <c r="E4" s="5" t="s">
        <v>714</v>
      </c>
      <c r="F4" s="5" t="s">
        <v>715</v>
      </c>
      <c r="G4" s="5" t="s">
        <v>716</v>
      </c>
      <c r="H4" s="5" t="s">
        <v>717</v>
      </c>
      <c r="I4" s="5" t="s">
        <v>65</v>
      </c>
      <c r="J4" s="5" t="s">
        <v>718</v>
      </c>
    </row>
    <row r="5" customFormat="false" ht="49.5" hidden="false" customHeight="true" outlineLevel="0" collapsed="false">
      <c r="A5" s="10" t="s">
        <v>719</v>
      </c>
      <c r="B5" s="10" t="s">
        <v>720</v>
      </c>
      <c r="C5" s="10" t="s">
        <v>68</v>
      </c>
      <c r="D5" s="10" t="s">
        <v>721</v>
      </c>
      <c r="E5" s="10" t="s">
        <v>722</v>
      </c>
      <c r="F5" s="10" t="s">
        <v>723</v>
      </c>
      <c r="G5" s="10" t="s">
        <v>724</v>
      </c>
      <c r="H5" s="10" t="s">
        <v>725</v>
      </c>
      <c r="I5" s="22" t="s">
        <v>72</v>
      </c>
      <c r="J5" s="10" t="s">
        <v>726</v>
      </c>
    </row>
    <row r="6" customFormat="false" ht="49.5" hidden="false" customHeight="true" outlineLevel="0" collapsed="false">
      <c r="A6" s="8" t="s">
        <v>727</v>
      </c>
      <c r="B6" s="8" t="s">
        <v>728</v>
      </c>
      <c r="C6" s="8" t="s">
        <v>729</v>
      </c>
      <c r="D6" s="8" t="s">
        <v>730</v>
      </c>
      <c r="E6" s="8" t="s">
        <v>731</v>
      </c>
      <c r="F6" s="8" t="s">
        <v>732</v>
      </c>
      <c r="G6" s="8" t="s">
        <v>733</v>
      </c>
      <c r="H6" s="8" t="s">
        <v>734</v>
      </c>
      <c r="I6" s="7" t="s">
        <v>85</v>
      </c>
      <c r="J6" s="8" t="s">
        <v>735</v>
      </c>
    </row>
    <row r="7" customFormat="false" ht="49.5" hidden="false" customHeight="true" outlineLevel="0" collapsed="false">
      <c r="A7" s="10" t="s">
        <v>736</v>
      </c>
      <c r="B7" s="10" t="s">
        <v>737</v>
      </c>
      <c r="C7" s="10" t="s">
        <v>729</v>
      </c>
      <c r="D7" s="10" t="s">
        <v>738</v>
      </c>
      <c r="E7" s="10" t="s">
        <v>739</v>
      </c>
      <c r="F7" s="10" t="s">
        <v>740</v>
      </c>
      <c r="G7" s="10" t="s">
        <v>741</v>
      </c>
      <c r="H7" s="10" t="s">
        <v>742</v>
      </c>
      <c r="I7" s="7" t="s">
        <v>85</v>
      </c>
      <c r="J7" s="10" t="s">
        <v>743</v>
      </c>
    </row>
    <row r="8" customFormat="false" ht="49.5" hidden="false" customHeight="true" outlineLevel="0" collapsed="false">
      <c r="A8" s="8" t="s">
        <v>744</v>
      </c>
      <c r="B8" s="8" t="s">
        <v>745</v>
      </c>
      <c r="C8" s="8" t="s">
        <v>746</v>
      </c>
      <c r="D8" s="8" t="s">
        <v>747</v>
      </c>
      <c r="E8" s="8" t="s">
        <v>748</v>
      </c>
      <c r="F8" s="8" t="s">
        <v>749</v>
      </c>
      <c r="G8" s="8" t="s">
        <v>750</v>
      </c>
      <c r="H8" s="8" t="s">
        <v>751</v>
      </c>
      <c r="I8" s="22" t="s">
        <v>72</v>
      </c>
      <c r="J8" s="8" t="s">
        <v>752</v>
      </c>
    </row>
    <row r="9" customFormat="false" ht="49.5" hidden="false" customHeight="true" outlineLevel="0" collapsed="false">
      <c r="A9" s="10" t="s">
        <v>753</v>
      </c>
      <c r="B9" s="10" t="s">
        <v>754</v>
      </c>
      <c r="C9" s="10" t="s">
        <v>755</v>
      </c>
      <c r="D9" s="10" t="s">
        <v>756</v>
      </c>
      <c r="E9" s="10" t="s">
        <v>757</v>
      </c>
      <c r="F9" s="10" t="s">
        <v>758</v>
      </c>
      <c r="G9" s="10" t="s">
        <v>759</v>
      </c>
      <c r="H9" s="10" t="s">
        <v>760</v>
      </c>
      <c r="I9" s="22" t="s">
        <v>72</v>
      </c>
      <c r="J9" s="10" t="s">
        <v>761</v>
      </c>
    </row>
    <row r="10" customFormat="false" ht="49.5" hidden="false" customHeight="true" outlineLevel="0" collapsed="false">
      <c r="A10" s="8" t="s">
        <v>762</v>
      </c>
      <c r="B10" s="8" t="s">
        <v>763</v>
      </c>
      <c r="C10" s="8" t="s">
        <v>764</v>
      </c>
      <c r="D10" s="8" t="s">
        <v>765</v>
      </c>
      <c r="E10" s="8" t="s">
        <v>766</v>
      </c>
      <c r="F10" s="8" t="s">
        <v>767</v>
      </c>
      <c r="G10" s="8" t="s">
        <v>768</v>
      </c>
      <c r="H10" s="8" t="s">
        <v>769</v>
      </c>
      <c r="I10" s="26" t="s">
        <v>92</v>
      </c>
      <c r="J10" s="8" t="s">
        <v>770</v>
      </c>
    </row>
    <row r="11" customFormat="false" ht="49.5" hidden="false" customHeight="true" outlineLevel="0" collapsed="false">
      <c r="A11" s="10" t="s">
        <v>771</v>
      </c>
      <c r="B11" s="10" t="s">
        <v>772</v>
      </c>
      <c r="C11" s="10" t="s">
        <v>773</v>
      </c>
      <c r="D11" s="10" t="s">
        <v>774</v>
      </c>
      <c r="E11" s="10" t="s">
        <v>775</v>
      </c>
      <c r="F11" s="10" t="s">
        <v>776</v>
      </c>
      <c r="G11" s="10" t="s">
        <v>777</v>
      </c>
      <c r="H11" s="10" t="s">
        <v>778</v>
      </c>
      <c r="I11" s="26" t="s">
        <v>92</v>
      </c>
      <c r="J11" s="10" t="s">
        <v>779</v>
      </c>
    </row>
    <row r="12" customFormat="false" ht="49.5" hidden="false" customHeight="true" outlineLevel="0" collapsed="false">
      <c r="A12" s="8" t="s">
        <v>780</v>
      </c>
      <c r="B12" s="8" t="s">
        <v>781</v>
      </c>
      <c r="C12" s="8" t="s">
        <v>746</v>
      </c>
      <c r="D12" s="8" t="s">
        <v>782</v>
      </c>
      <c r="E12" s="8" t="s">
        <v>783</v>
      </c>
      <c r="F12" s="8" t="s">
        <v>784</v>
      </c>
      <c r="G12" s="8" t="s">
        <v>785</v>
      </c>
      <c r="H12" s="8" t="s">
        <v>786</v>
      </c>
      <c r="I12" s="26" t="s">
        <v>92</v>
      </c>
      <c r="J12" s="8" t="s">
        <v>787</v>
      </c>
    </row>
    <row r="13" customFormat="false" ht="49.5" hidden="false" customHeight="true" outlineLevel="0" collapsed="false">
      <c r="A13" s="10" t="s">
        <v>788</v>
      </c>
      <c r="B13" s="10" t="s">
        <v>789</v>
      </c>
      <c r="C13" s="10" t="s">
        <v>790</v>
      </c>
      <c r="D13" s="10" t="s">
        <v>791</v>
      </c>
      <c r="E13" s="10" t="s">
        <v>792</v>
      </c>
      <c r="F13" s="10" t="s">
        <v>793</v>
      </c>
      <c r="G13" s="10" t="s">
        <v>794</v>
      </c>
      <c r="H13" s="10" t="s">
        <v>795</v>
      </c>
      <c r="I13" s="26" t="s">
        <v>92</v>
      </c>
      <c r="J13" s="10" t="s">
        <v>796</v>
      </c>
    </row>
    <row r="14" customFormat="false" ht="49.5" hidden="false" customHeight="true" outlineLevel="0" collapsed="false">
      <c r="A14" s="8" t="s">
        <v>797</v>
      </c>
      <c r="B14" s="8" t="s">
        <v>798</v>
      </c>
      <c r="C14" s="8" t="s">
        <v>799</v>
      </c>
      <c r="D14" s="8" t="s">
        <v>800</v>
      </c>
      <c r="E14" s="8" t="s">
        <v>801</v>
      </c>
      <c r="F14" s="8" t="s">
        <v>802</v>
      </c>
      <c r="G14" s="8" t="s">
        <v>803</v>
      </c>
      <c r="H14" s="8" t="s">
        <v>804</v>
      </c>
      <c r="I14" s="42" t="s">
        <v>805</v>
      </c>
      <c r="J14" s="8" t="s">
        <v>806</v>
      </c>
    </row>
    <row r="15" customFormat="false" ht="49.5" hidden="false" customHeight="true" outlineLevel="0" collapsed="false">
      <c r="A15" s="10" t="s">
        <v>807</v>
      </c>
      <c r="B15" s="10" t="s">
        <v>808</v>
      </c>
      <c r="C15" s="10" t="s">
        <v>809</v>
      </c>
      <c r="D15" s="10" t="s">
        <v>810</v>
      </c>
      <c r="E15" s="10" t="s">
        <v>811</v>
      </c>
      <c r="F15" s="10" t="s">
        <v>309</v>
      </c>
      <c r="G15" s="10" t="s">
        <v>812</v>
      </c>
      <c r="H15" s="10" t="s">
        <v>813</v>
      </c>
      <c r="I15" s="26" t="s">
        <v>92</v>
      </c>
      <c r="J15" s="10" t="s">
        <v>814</v>
      </c>
    </row>
    <row r="16" customFormat="false" ht="49.5" hidden="false" customHeight="true" outlineLevel="0" collapsed="false">
      <c r="A16" s="8" t="s">
        <v>815</v>
      </c>
      <c r="B16" s="8" t="s">
        <v>816</v>
      </c>
      <c r="C16" s="8" t="s">
        <v>817</v>
      </c>
      <c r="D16" s="8" t="s">
        <v>818</v>
      </c>
      <c r="E16" s="8" t="s">
        <v>819</v>
      </c>
      <c r="F16" s="8" t="s">
        <v>309</v>
      </c>
      <c r="G16" s="8" t="s">
        <v>820</v>
      </c>
      <c r="H16" s="8" t="s">
        <v>821</v>
      </c>
      <c r="I16" s="42" t="s">
        <v>822</v>
      </c>
      <c r="J16" s="8" t="s">
        <v>823</v>
      </c>
    </row>
    <row r="17" customFormat="false" ht="49.5" hidden="false" customHeight="true" outlineLevel="0" collapsed="false">
      <c r="A17" s="10" t="s">
        <v>824</v>
      </c>
      <c r="B17" s="10" t="s">
        <v>825</v>
      </c>
      <c r="C17" s="10" t="s">
        <v>485</v>
      </c>
      <c r="D17" s="10" t="s">
        <v>826</v>
      </c>
      <c r="E17" s="10" t="s">
        <v>827</v>
      </c>
      <c r="F17" s="10" t="s">
        <v>828</v>
      </c>
      <c r="G17" s="10" t="s">
        <v>829</v>
      </c>
      <c r="H17" s="10" t="s">
        <v>830</v>
      </c>
      <c r="I17" s="22" t="s">
        <v>72</v>
      </c>
      <c r="J17" s="10" t="s">
        <v>831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5"/>
    <col collapsed="false" customWidth="true" hidden="false" outlineLevel="0" max="3" min="3" style="1" width="20"/>
    <col collapsed="false" customWidth="true" hidden="false" outlineLevel="0" max="4" min="4" style="1" width="60"/>
    <col collapsed="false" customWidth="true" hidden="false" outlineLevel="0" max="6" min="5" style="1" width="20"/>
  </cols>
  <sheetData>
    <row r="1" customFormat="false" ht="39.75" hidden="false" customHeight="true" outlineLevel="0" collapsed="false">
      <c r="A1" s="21" t="s">
        <v>832</v>
      </c>
      <c r="B1" s="21"/>
      <c r="C1" s="21"/>
      <c r="D1" s="21"/>
      <c r="E1" s="21"/>
      <c r="F1" s="21"/>
    </row>
    <row r="3" customFormat="false" ht="21.75" hidden="false" customHeight="true" outlineLevel="0" collapsed="false">
      <c r="A3" s="43" t="s">
        <v>833</v>
      </c>
      <c r="B3" s="43"/>
      <c r="C3" s="43"/>
      <c r="D3" s="43"/>
      <c r="E3" s="43"/>
      <c r="F3" s="43"/>
    </row>
    <row r="4" customFormat="false" ht="15" hidden="false" customHeight="true" outlineLevel="0" collapsed="false">
      <c r="A4" s="44" t="s">
        <v>834</v>
      </c>
      <c r="B4" s="44" t="s">
        <v>835</v>
      </c>
      <c r="C4" s="44" t="s">
        <v>836</v>
      </c>
    </row>
    <row r="5" customFormat="false" ht="39.75" hidden="false" customHeight="true" outlineLevel="0" collapsed="false">
      <c r="A5" s="45" t="s">
        <v>837</v>
      </c>
      <c r="B5" s="46" t="s">
        <v>838</v>
      </c>
      <c r="C5" s="46"/>
      <c r="D5" s="46"/>
      <c r="E5" s="46"/>
      <c r="F5" s="46"/>
    </row>
    <row r="6" customFormat="false" ht="39.75" hidden="false" customHeight="true" outlineLevel="0" collapsed="false">
      <c r="A6" s="47" t="s">
        <v>839</v>
      </c>
      <c r="B6" s="47" t="s">
        <v>840</v>
      </c>
      <c r="C6" s="47" t="s">
        <v>841</v>
      </c>
      <c r="D6" s="48" t="s">
        <v>842</v>
      </c>
      <c r="E6" s="48"/>
      <c r="F6" s="48"/>
    </row>
    <row r="7" customFormat="false" ht="39.75" hidden="false" customHeight="true" outlineLevel="0" collapsed="false">
      <c r="A7" s="45" t="s">
        <v>843</v>
      </c>
      <c r="B7" s="45" t="s">
        <v>844</v>
      </c>
      <c r="C7" s="45" t="s">
        <v>845</v>
      </c>
      <c r="D7" s="46" t="s">
        <v>846</v>
      </c>
      <c r="E7" s="46"/>
      <c r="F7" s="46"/>
    </row>
    <row r="8" customFormat="false" ht="39.75" hidden="false" customHeight="true" outlineLevel="0" collapsed="false">
      <c r="A8" s="47" t="s">
        <v>847</v>
      </c>
      <c r="B8" s="48" t="s">
        <v>848</v>
      </c>
      <c r="C8" s="48"/>
      <c r="D8" s="48"/>
      <c r="E8" s="48"/>
      <c r="F8" s="48"/>
    </row>
    <row r="9" customFormat="false" ht="39.75" hidden="false" customHeight="true" outlineLevel="0" collapsed="false">
      <c r="A9" s="45" t="s">
        <v>849</v>
      </c>
      <c r="B9" s="45" t="s">
        <v>850</v>
      </c>
      <c r="C9" s="45" t="s">
        <v>851</v>
      </c>
      <c r="D9" s="46" t="s">
        <v>852</v>
      </c>
      <c r="E9" s="46"/>
      <c r="F9" s="46"/>
    </row>
    <row r="10" customFormat="false" ht="39.75" hidden="false" customHeight="true" outlineLevel="0" collapsed="false">
      <c r="A10" s="47" t="s">
        <v>853</v>
      </c>
      <c r="B10" s="47" t="s">
        <v>854</v>
      </c>
      <c r="C10" s="47" t="s">
        <v>841</v>
      </c>
      <c r="D10" s="48" t="s">
        <v>855</v>
      </c>
      <c r="E10" s="48"/>
      <c r="F10" s="48"/>
    </row>
    <row r="11" customFormat="false" ht="39.75" hidden="false" customHeight="true" outlineLevel="0" collapsed="false">
      <c r="A11" s="45" t="s">
        <v>856</v>
      </c>
      <c r="B11" s="45" t="s">
        <v>857</v>
      </c>
      <c r="C11" s="45" t="s">
        <v>841</v>
      </c>
      <c r="D11" s="46" t="s">
        <v>858</v>
      </c>
      <c r="E11" s="46"/>
      <c r="F11" s="46"/>
    </row>
    <row r="12" customFormat="false" ht="39.75" hidden="false" customHeight="true" outlineLevel="0" collapsed="false">
      <c r="A12" s="47" t="s">
        <v>859</v>
      </c>
      <c r="B12" s="47" t="s">
        <v>860</v>
      </c>
      <c r="C12" s="47" t="s">
        <v>841</v>
      </c>
      <c r="D12" s="48" t="s">
        <v>861</v>
      </c>
      <c r="E12" s="48"/>
      <c r="F12" s="48"/>
    </row>
    <row r="13" customFormat="false" ht="21.75" hidden="false" customHeight="true" outlineLevel="0" collapsed="false">
      <c r="A13" s="43"/>
      <c r="B13" s="43"/>
      <c r="C13" s="43"/>
      <c r="D13" s="43"/>
      <c r="E13" s="43"/>
      <c r="F13" s="43"/>
    </row>
    <row r="14" customFormat="false" ht="15" hidden="false" customHeight="true" outlineLevel="0" collapsed="false">
      <c r="A14" s="44" t="s">
        <v>862</v>
      </c>
      <c r="B14" s="44"/>
      <c r="C14" s="44"/>
    </row>
    <row r="15" customFormat="false" ht="15" hidden="false" customHeight="true" outlineLevel="0" collapsed="false">
      <c r="A15" s="45" t="s">
        <v>863</v>
      </c>
      <c r="B15" s="45" t="s">
        <v>864</v>
      </c>
      <c r="C15" s="45"/>
      <c r="D15" s="45"/>
      <c r="E15" s="45"/>
      <c r="F15" s="45"/>
    </row>
    <row r="16" customFormat="false" ht="39.75" hidden="false" customHeight="true" outlineLevel="0" collapsed="false">
      <c r="A16" s="47" t="s">
        <v>865</v>
      </c>
      <c r="B16" s="48" t="s">
        <v>866</v>
      </c>
      <c r="C16" s="48"/>
      <c r="D16" s="48"/>
      <c r="E16" s="48"/>
      <c r="F16" s="48"/>
    </row>
    <row r="17" customFormat="false" ht="39.75" hidden="false" customHeight="true" outlineLevel="0" collapsed="false">
      <c r="A17" s="45" t="s">
        <v>867</v>
      </c>
      <c r="B17" s="46" t="s">
        <v>868</v>
      </c>
      <c r="C17" s="46"/>
      <c r="D17" s="46"/>
      <c r="E17" s="46"/>
      <c r="F17" s="46"/>
    </row>
    <row r="18" customFormat="false" ht="39.75" hidden="false" customHeight="true" outlineLevel="0" collapsed="false">
      <c r="A18" s="47" t="s">
        <v>869</v>
      </c>
      <c r="B18" s="48" t="s">
        <v>870</v>
      </c>
      <c r="C18" s="48"/>
      <c r="D18" s="48"/>
      <c r="E18" s="48"/>
      <c r="F18" s="48"/>
    </row>
    <row r="19" customFormat="false" ht="39.75" hidden="false" customHeight="true" outlineLevel="0" collapsed="false">
      <c r="A19" s="45" t="s">
        <v>871</v>
      </c>
      <c r="B19" s="46" t="s">
        <v>872</v>
      </c>
      <c r="C19" s="46"/>
      <c r="D19" s="46"/>
      <c r="E19" s="46"/>
      <c r="F19" s="46"/>
    </row>
    <row r="20" customFormat="false" ht="21.75" hidden="false" customHeight="true" outlineLevel="0" collapsed="false">
      <c r="A20" s="43" t="s">
        <v>873</v>
      </c>
      <c r="B20" s="43"/>
      <c r="C20" s="43"/>
      <c r="D20" s="43"/>
      <c r="E20" s="43"/>
      <c r="F20" s="43"/>
    </row>
    <row r="21" customFormat="false" ht="15" hidden="false" customHeight="true" outlineLevel="0" collapsed="false">
      <c r="A21" s="44"/>
      <c r="B21" s="44"/>
      <c r="C21" s="44"/>
    </row>
    <row r="22" customFormat="false" ht="15" hidden="false" customHeight="true" outlineLevel="0" collapsed="false">
      <c r="A22" s="47" t="s">
        <v>874</v>
      </c>
      <c r="B22" s="47"/>
      <c r="C22" s="47"/>
      <c r="D22" s="47"/>
      <c r="E22" s="47"/>
      <c r="F22" s="47"/>
    </row>
    <row r="23" customFormat="false" ht="15" hidden="false" customHeight="true" outlineLevel="0" collapsed="false">
      <c r="A23" s="45" t="s">
        <v>875</v>
      </c>
      <c r="B23" s="45" t="s">
        <v>876</v>
      </c>
      <c r="C23" s="45" t="s">
        <v>877</v>
      </c>
      <c r="D23" s="45"/>
      <c r="E23" s="45"/>
      <c r="F23" s="45"/>
    </row>
    <row r="24" customFormat="false" ht="15" hidden="false" customHeight="true" outlineLevel="0" collapsed="false">
      <c r="A24" s="47" t="s">
        <v>878</v>
      </c>
      <c r="B24" s="47" t="s">
        <v>879</v>
      </c>
      <c r="C24" s="47" t="s">
        <v>880</v>
      </c>
      <c r="D24" s="47"/>
      <c r="E24" s="47"/>
      <c r="F24" s="47"/>
    </row>
    <row r="25" customFormat="false" ht="21.75" hidden="false" customHeight="true" outlineLevel="0" collapsed="false">
      <c r="A25" s="43" t="s">
        <v>881</v>
      </c>
      <c r="B25" s="43"/>
      <c r="C25" s="43"/>
      <c r="D25" s="43"/>
      <c r="E25" s="43"/>
      <c r="F25" s="43"/>
    </row>
    <row r="26" customFormat="false" ht="26.25" hidden="false" customHeight="true" outlineLevel="0" collapsed="false">
      <c r="A26" s="44" t="s">
        <v>882</v>
      </c>
      <c r="B26" s="44" t="s">
        <v>883</v>
      </c>
      <c r="C26" s="44" t="s">
        <v>884</v>
      </c>
    </row>
    <row r="27" customFormat="false" ht="15" hidden="false" customHeight="true" outlineLevel="0" collapsed="false">
      <c r="A27" s="45"/>
      <c r="B27" s="45"/>
      <c r="C27" s="45"/>
      <c r="D27" s="45"/>
      <c r="E27" s="45"/>
      <c r="F27" s="45"/>
    </row>
    <row r="28" customFormat="false" ht="21.75" hidden="false" customHeight="true" outlineLevel="0" collapsed="false">
      <c r="A28" s="47" t="s">
        <v>885</v>
      </c>
      <c r="B28" s="47"/>
      <c r="C28" s="47"/>
      <c r="D28" s="47"/>
      <c r="E28" s="47"/>
      <c r="F28" s="47"/>
    </row>
    <row r="29" customFormat="false" ht="39.75" hidden="false" customHeight="true" outlineLevel="0" collapsed="false">
      <c r="A29" s="45" t="s">
        <v>886</v>
      </c>
      <c r="B29" s="46" t="s">
        <v>887</v>
      </c>
      <c r="C29" s="46"/>
      <c r="D29" s="46"/>
      <c r="E29" s="46"/>
      <c r="F29" s="46"/>
    </row>
    <row r="30" customFormat="false" ht="39.75" hidden="false" customHeight="true" outlineLevel="0" collapsed="false">
      <c r="A30" s="47" t="s">
        <v>888</v>
      </c>
      <c r="B30" s="48" t="s">
        <v>889</v>
      </c>
      <c r="C30" s="48"/>
      <c r="D30" s="48"/>
      <c r="E30" s="48"/>
      <c r="F30" s="48"/>
    </row>
  </sheetData>
  <mergeCells count="19">
    <mergeCell ref="A1:F1"/>
    <mergeCell ref="A3:F3"/>
    <mergeCell ref="B5:F5"/>
    <mergeCell ref="D6:F6"/>
    <mergeCell ref="D7:F7"/>
    <mergeCell ref="B8:F8"/>
    <mergeCell ref="D9:F9"/>
    <mergeCell ref="D10:F10"/>
    <mergeCell ref="D11:F11"/>
    <mergeCell ref="D12:F12"/>
    <mergeCell ref="A13:F13"/>
    <mergeCell ref="B16:F16"/>
    <mergeCell ref="B17:F17"/>
    <mergeCell ref="B18:F18"/>
    <mergeCell ref="B19:F19"/>
    <mergeCell ref="A20:F20"/>
    <mergeCell ref="A25:F25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6"/>
    <col collapsed="false" customWidth="true" hidden="false" outlineLevel="0" max="5" min="4" style="0" width="3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26"/>
    <col collapsed="false" customWidth="true" hidden="false" outlineLevel="0" max="12" min="10" style="0" width="10"/>
  </cols>
  <sheetData>
    <row r="1" customFormat="false" ht="39.75" hidden="false" customHeight="true" outlineLevel="0" collapsed="false">
      <c r="A1" s="21" t="s">
        <v>890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30" hidden="false" customHeight="true" outlineLevel="0" collapsed="false">
      <c r="A2" s="49" t="s">
        <v>891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4" customFormat="false" ht="15" hidden="false" customHeight="true" outlineLevel="0" collapsed="false">
      <c r="A4" s="50" t="s">
        <v>892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customFormat="false" ht="34.5" hidden="false" customHeight="true" outlineLevel="0" collapsed="false">
      <c r="A5" s="51" t="s">
        <v>893</v>
      </c>
      <c r="B5" s="52" t="s">
        <v>894</v>
      </c>
      <c r="C5" s="52"/>
      <c r="D5" s="52"/>
      <c r="E5" s="52"/>
      <c r="F5" s="52"/>
      <c r="G5" s="52"/>
      <c r="H5" s="52"/>
      <c r="I5" s="52"/>
      <c r="J5" s="52"/>
      <c r="K5" s="52"/>
      <c r="L5" s="52"/>
    </row>
    <row r="6" customFormat="false" ht="34.5" hidden="false" customHeight="true" outlineLevel="0" collapsed="false">
      <c r="A6" s="53" t="s">
        <v>895</v>
      </c>
      <c r="B6" s="54" t="s">
        <v>896</v>
      </c>
      <c r="C6" s="54"/>
      <c r="D6" s="54"/>
      <c r="E6" s="54"/>
      <c r="F6" s="54"/>
      <c r="G6" s="54"/>
      <c r="H6" s="54"/>
      <c r="I6" s="54"/>
      <c r="J6" s="54"/>
      <c r="K6" s="54"/>
      <c r="L6" s="54"/>
    </row>
    <row r="7" customFormat="false" ht="34.5" hidden="false" customHeight="true" outlineLevel="0" collapsed="false">
      <c r="A7" s="51" t="s">
        <v>897</v>
      </c>
      <c r="B7" s="52" t="s">
        <v>898</v>
      </c>
      <c r="C7" s="52"/>
      <c r="D7" s="52"/>
      <c r="E7" s="52"/>
      <c r="F7" s="52"/>
      <c r="G7" s="52"/>
      <c r="H7" s="52"/>
      <c r="I7" s="52"/>
      <c r="J7" s="52"/>
      <c r="K7" s="52"/>
      <c r="L7" s="52"/>
    </row>
    <row r="8" customFormat="false" ht="34.5" hidden="false" customHeight="true" outlineLevel="0" collapsed="false">
      <c r="A8" s="53" t="s">
        <v>899</v>
      </c>
      <c r="B8" s="54" t="s">
        <v>900</v>
      </c>
      <c r="C8" s="54"/>
      <c r="D8" s="54"/>
      <c r="E8" s="54"/>
      <c r="F8" s="54"/>
      <c r="G8" s="54"/>
      <c r="H8" s="54"/>
      <c r="I8" s="54"/>
      <c r="J8" s="54"/>
      <c r="K8" s="54"/>
      <c r="L8" s="54"/>
    </row>
    <row r="9" customFormat="false" ht="34.5" hidden="false" customHeight="true" outlineLevel="0" collapsed="false">
      <c r="A9" s="51" t="s">
        <v>901</v>
      </c>
      <c r="B9" s="52" t="s">
        <v>902</v>
      </c>
      <c r="C9" s="52"/>
      <c r="D9" s="52"/>
      <c r="E9" s="52"/>
      <c r="F9" s="52"/>
      <c r="G9" s="52"/>
      <c r="H9" s="52"/>
      <c r="I9" s="52"/>
      <c r="J9" s="52"/>
      <c r="K9" s="52"/>
      <c r="L9" s="52"/>
    </row>
    <row r="11" customFormat="false" ht="15" hidden="false" customHeight="true" outlineLevel="0" collapsed="false">
      <c r="A11" s="55" t="s">
        <v>903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</row>
    <row r="12" customFormat="false" ht="22.35" hidden="false" customHeight="false" outlineLevel="0" collapsed="false">
      <c r="A12" s="35" t="s">
        <v>904</v>
      </c>
      <c r="B12" s="35" t="s">
        <v>905</v>
      </c>
      <c r="C12" s="35" t="s">
        <v>906</v>
      </c>
      <c r="D12" s="35" t="s">
        <v>907</v>
      </c>
      <c r="E12" s="35" t="s">
        <v>908</v>
      </c>
      <c r="F12" s="35" t="s">
        <v>909</v>
      </c>
      <c r="G12" s="35" t="s">
        <v>910</v>
      </c>
      <c r="H12" s="35" t="s">
        <v>911</v>
      </c>
      <c r="I12" s="35" t="s">
        <v>912</v>
      </c>
    </row>
    <row r="13" customFormat="false" ht="64.5" hidden="false" customHeight="true" outlineLevel="0" collapsed="false">
      <c r="A13" s="36" t="s">
        <v>913</v>
      </c>
      <c r="B13" s="26" t="s">
        <v>914</v>
      </c>
      <c r="C13" s="16" t="s">
        <v>915</v>
      </c>
      <c r="D13" s="16" t="s">
        <v>916</v>
      </c>
      <c r="E13" s="16" t="s">
        <v>917</v>
      </c>
      <c r="F13" s="16" t="s">
        <v>918</v>
      </c>
      <c r="G13" s="16" t="s">
        <v>919</v>
      </c>
      <c r="H13" s="16" t="s">
        <v>920</v>
      </c>
      <c r="I13" s="56" t="s">
        <v>921</v>
      </c>
    </row>
    <row r="14" customFormat="false" ht="64.5" hidden="false" customHeight="true" outlineLevel="0" collapsed="false">
      <c r="A14" s="36" t="s">
        <v>922</v>
      </c>
      <c r="B14" s="26" t="s">
        <v>923</v>
      </c>
      <c r="C14" s="8" t="s">
        <v>924</v>
      </c>
      <c r="D14" s="8" t="s">
        <v>925</v>
      </c>
      <c r="E14" s="8" t="s">
        <v>926</v>
      </c>
      <c r="F14" s="8" t="s">
        <v>927</v>
      </c>
      <c r="G14" s="8" t="s">
        <v>928</v>
      </c>
      <c r="H14" s="8" t="s">
        <v>929</v>
      </c>
      <c r="I14" s="56" t="s">
        <v>930</v>
      </c>
    </row>
    <row r="15" customFormat="false" ht="64.5" hidden="false" customHeight="true" outlineLevel="0" collapsed="false">
      <c r="A15" s="36" t="s">
        <v>931</v>
      </c>
      <c r="B15" s="26" t="s">
        <v>932</v>
      </c>
      <c r="C15" s="16" t="s">
        <v>933</v>
      </c>
      <c r="D15" s="16" t="s">
        <v>934</v>
      </c>
      <c r="E15" s="16" t="s">
        <v>935</v>
      </c>
      <c r="F15" s="16" t="s">
        <v>936</v>
      </c>
      <c r="G15" s="16" t="s">
        <v>937</v>
      </c>
      <c r="H15" s="16" t="s">
        <v>938</v>
      </c>
      <c r="I15" s="56" t="s">
        <v>939</v>
      </c>
    </row>
    <row r="16" customFormat="false" ht="64.5" hidden="false" customHeight="true" outlineLevel="0" collapsed="false">
      <c r="A16" s="36" t="s">
        <v>940</v>
      </c>
      <c r="B16" s="26" t="s">
        <v>941</v>
      </c>
      <c r="C16" s="8" t="s">
        <v>942</v>
      </c>
      <c r="D16" s="8" t="s">
        <v>943</v>
      </c>
      <c r="E16" s="8" t="s">
        <v>944</v>
      </c>
      <c r="F16" s="8" t="s">
        <v>945</v>
      </c>
      <c r="G16" s="8" t="s">
        <v>946</v>
      </c>
      <c r="H16" s="8" t="s">
        <v>947</v>
      </c>
      <c r="I16" s="56" t="s">
        <v>948</v>
      </c>
    </row>
    <row r="17" customFormat="false" ht="64.5" hidden="false" customHeight="true" outlineLevel="0" collapsed="false">
      <c r="A17" s="36" t="s">
        <v>949</v>
      </c>
      <c r="B17" s="26" t="s">
        <v>950</v>
      </c>
      <c r="C17" s="16" t="s">
        <v>951</v>
      </c>
      <c r="D17" s="16" t="s">
        <v>384</v>
      </c>
      <c r="E17" s="16" t="s">
        <v>952</v>
      </c>
      <c r="F17" s="16" t="s">
        <v>953</v>
      </c>
      <c r="G17" s="16" t="s">
        <v>954</v>
      </c>
      <c r="H17" s="16" t="s">
        <v>955</v>
      </c>
      <c r="I17" s="56" t="s">
        <v>956</v>
      </c>
    </row>
    <row r="18" customFormat="false" ht="64.5" hidden="false" customHeight="true" outlineLevel="0" collapsed="false">
      <c r="A18" s="36" t="s">
        <v>957</v>
      </c>
      <c r="B18" s="26" t="s">
        <v>958</v>
      </c>
      <c r="C18" s="8" t="s">
        <v>959</v>
      </c>
      <c r="D18" s="8" t="s">
        <v>960</v>
      </c>
      <c r="E18" s="8" t="s">
        <v>961</v>
      </c>
      <c r="F18" s="8" t="s">
        <v>962</v>
      </c>
      <c r="G18" s="8" t="s">
        <v>963</v>
      </c>
      <c r="H18" s="8" t="s">
        <v>964</v>
      </c>
      <c r="I18" s="56" t="s">
        <v>965</v>
      </c>
    </row>
    <row r="20" customFormat="false" ht="15" hidden="false" customHeight="true" outlineLevel="0" collapsed="false">
      <c r="A20" s="50" t="s">
        <v>966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</row>
    <row r="21" customFormat="false" ht="15" hidden="false" customHeight="false" outlineLevel="0" collapsed="false">
      <c r="A21" s="35" t="s">
        <v>190</v>
      </c>
      <c r="B21" s="35" t="s">
        <v>875</v>
      </c>
      <c r="C21" s="35" t="s">
        <v>967</v>
      </c>
      <c r="D21" s="35" t="s">
        <v>968</v>
      </c>
      <c r="E21" s="35" t="s">
        <v>969</v>
      </c>
      <c r="F21" s="35" t="s">
        <v>196</v>
      </c>
      <c r="G21" s="35" t="s">
        <v>970</v>
      </c>
      <c r="H21" s="35" t="s">
        <v>971</v>
      </c>
    </row>
    <row r="22" customFormat="false" ht="49.5" hidden="false" customHeight="true" outlineLevel="0" collapsed="false">
      <c r="A22" s="57" t="s">
        <v>126</v>
      </c>
      <c r="B22" s="18" t="s">
        <v>972</v>
      </c>
      <c r="C22" s="18" t="s">
        <v>973</v>
      </c>
      <c r="D22" s="18" t="s">
        <v>974</v>
      </c>
      <c r="E22" s="18" t="s">
        <v>975</v>
      </c>
      <c r="F22" s="18" t="s">
        <v>976</v>
      </c>
      <c r="G22" s="18" t="s">
        <v>977</v>
      </c>
      <c r="H22" s="18" t="s">
        <v>978</v>
      </c>
    </row>
    <row r="23" customFormat="false" ht="49.5" hidden="false" customHeight="true" outlineLevel="0" collapsed="false">
      <c r="A23" s="57" t="s">
        <v>126</v>
      </c>
      <c r="B23" s="8" t="s">
        <v>979</v>
      </c>
      <c r="C23" s="8" t="s">
        <v>980</v>
      </c>
      <c r="D23" s="8" t="s">
        <v>981</v>
      </c>
      <c r="E23" s="8" t="s">
        <v>982</v>
      </c>
      <c r="F23" s="8" t="s">
        <v>983</v>
      </c>
      <c r="G23" s="8" t="s">
        <v>984</v>
      </c>
      <c r="H23" s="8" t="s">
        <v>985</v>
      </c>
    </row>
    <row r="24" customFormat="false" ht="49.5" hidden="false" customHeight="true" outlineLevel="0" collapsed="false">
      <c r="A24" s="57" t="s">
        <v>126</v>
      </c>
      <c r="B24" s="18" t="s">
        <v>986</v>
      </c>
      <c r="C24" s="18" t="s">
        <v>980</v>
      </c>
      <c r="D24" s="18" t="s">
        <v>987</v>
      </c>
      <c r="E24" s="18" t="s">
        <v>988</v>
      </c>
      <c r="F24" s="18" t="s">
        <v>989</v>
      </c>
      <c r="G24" s="18" t="s">
        <v>990</v>
      </c>
      <c r="H24" s="18" t="s">
        <v>991</v>
      </c>
    </row>
    <row r="25" customFormat="false" ht="49.5" hidden="false" customHeight="true" outlineLevel="0" collapsed="false">
      <c r="A25" s="57" t="s">
        <v>118</v>
      </c>
      <c r="B25" s="8" t="s">
        <v>992</v>
      </c>
      <c r="C25" s="8" t="s">
        <v>993</v>
      </c>
      <c r="D25" s="8" t="s">
        <v>994</v>
      </c>
      <c r="E25" s="8" t="s">
        <v>995</v>
      </c>
      <c r="F25" s="8" t="s">
        <v>996</v>
      </c>
      <c r="G25" s="8" t="s">
        <v>997</v>
      </c>
      <c r="H25" s="8" t="s">
        <v>998</v>
      </c>
    </row>
    <row r="26" customFormat="false" ht="49.5" hidden="false" customHeight="true" outlineLevel="0" collapsed="false">
      <c r="A26" s="57" t="s">
        <v>118</v>
      </c>
      <c r="B26" s="18" t="s">
        <v>999</v>
      </c>
      <c r="C26" s="18" t="s">
        <v>1000</v>
      </c>
      <c r="D26" s="18" t="s">
        <v>1001</v>
      </c>
      <c r="E26" s="18" t="s">
        <v>1002</v>
      </c>
      <c r="F26" s="18" t="s">
        <v>1003</v>
      </c>
      <c r="G26" s="18" t="s">
        <v>1004</v>
      </c>
      <c r="H26" s="18" t="s">
        <v>985</v>
      </c>
    </row>
    <row r="27" customFormat="false" ht="49.5" hidden="false" customHeight="true" outlineLevel="0" collapsed="false">
      <c r="A27" s="57" t="s">
        <v>118</v>
      </c>
      <c r="B27" s="8" t="s">
        <v>1005</v>
      </c>
      <c r="C27" s="8" t="s">
        <v>1000</v>
      </c>
      <c r="D27" s="8" t="s">
        <v>1006</v>
      </c>
      <c r="E27" s="8" t="s">
        <v>1007</v>
      </c>
      <c r="F27" s="8" t="s">
        <v>1008</v>
      </c>
      <c r="G27" s="8" t="s">
        <v>984</v>
      </c>
      <c r="H27" s="8" t="s">
        <v>1009</v>
      </c>
    </row>
  </sheetData>
  <mergeCells count="10">
    <mergeCell ref="A1:L1"/>
    <mergeCell ref="A2:L2"/>
    <mergeCell ref="A4:L4"/>
    <mergeCell ref="B5:L5"/>
    <mergeCell ref="B6:L6"/>
    <mergeCell ref="B7:L7"/>
    <mergeCell ref="B8:L8"/>
    <mergeCell ref="B9:L9"/>
    <mergeCell ref="A11:L11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9" min="7" style="0" width="10"/>
    <col collapsed="false" customWidth="true" hidden="false" outlineLevel="0" max="10" min="10" style="0" width="14"/>
    <col collapsed="false" customWidth="true" hidden="false" outlineLevel="0" max="11" min="11" style="0" width="24"/>
  </cols>
  <sheetData>
    <row r="1" customFormat="false" ht="49.5" hidden="false" customHeight="true" outlineLevel="0" collapsed="false">
      <c r="A1" s="58" t="s">
        <v>1010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customFormat="false" ht="24.75" hidden="false" customHeight="true" outlineLevel="0" collapsed="false">
      <c r="A2" s="3" t="s">
        <v>1011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7.75" hidden="false" customHeight="true" outlineLevel="0" collapsed="false">
      <c r="A4" s="59" t="s">
        <v>1012</v>
      </c>
      <c r="B4" s="59"/>
      <c r="C4" s="59"/>
      <c r="D4" s="59"/>
      <c r="E4" s="59"/>
      <c r="F4" s="59"/>
      <c r="G4" s="59"/>
      <c r="H4" s="59"/>
      <c r="I4" s="59"/>
      <c r="J4" s="59"/>
      <c r="K4" s="59"/>
    </row>
    <row r="5" customFormat="false" ht="31.5" hidden="false" customHeight="true" outlineLevel="0" collapsed="false">
      <c r="A5" s="60" t="s">
        <v>1013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customFormat="false" ht="31.5" hidden="false" customHeight="true" outlineLevel="0" collapsed="false">
      <c r="A6" s="54" t="s">
        <v>1014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customFormat="false" ht="31.5" hidden="false" customHeight="true" outlineLevel="0" collapsed="false">
      <c r="A7" s="60" t="s">
        <v>1015</v>
      </c>
      <c r="B7" s="60"/>
      <c r="C7" s="60"/>
      <c r="D7" s="60"/>
      <c r="E7" s="60"/>
      <c r="F7" s="60"/>
      <c r="G7" s="60"/>
      <c r="H7" s="60"/>
      <c r="I7" s="60"/>
      <c r="J7" s="60"/>
      <c r="K7" s="60"/>
    </row>
    <row r="8" customFormat="false" ht="31.5" hidden="false" customHeight="true" outlineLevel="0" collapsed="false">
      <c r="A8" s="61" t="s">
        <v>1016</v>
      </c>
      <c r="B8" s="61"/>
      <c r="C8" s="61"/>
      <c r="D8" s="61"/>
      <c r="E8" s="61"/>
      <c r="F8" s="61"/>
      <c r="G8" s="61"/>
      <c r="H8" s="61"/>
      <c r="I8" s="61"/>
      <c r="J8" s="61"/>
      <c r="K8" s="61"/>
    </row>
    <row r="10" customFormat="false" ht="27.75" hidden="false" customHeight="true" outlineLevel="0" collapsed="false">
      <c r="A10" s="59" t="s">
        <v>1017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</row>
    <row r="11" customFormat="false" ht="24.75" hidden="false" customHeight="true" outlineLevel="0" collapsed="false">
      <c r="A11" s="43" t="s">
        <v>1018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customFormat="false" ht="54.75" hidden="false" customHeight="true" outlineLevel="0" collapsed="false">
      <c r="A12" s="62" t="s">
        <v>1019</v>
      </c>
      <c r="B12" s="62"/>
      <c r="C12" s="62"/>
      <c r="D12" s="62"/>
      <c r="E12" s="62"/>
      <c r="F12" s="62"/>
      <c r="G12" s="62"/>
      <c r="H12" s="63" t="s">
        <v>634</v>
      </c>
      <c r="I12" s="24" t="s">
        <v>1020</v>
      </c>
      <c r="J12" s="64" t="s">
        <v>1021</v>
      </c>
      <c r="K12" s="65" t="s">
        <v>1022</v>
      </c>
    </row>
    <row r="14" customFormat="false" ht="24.75" hidden="false" customHeight="true" outlineLevel="0" collapsed="false">
      <c r="A14" s="43" t="s">
        <v>1023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customFormat="false" ht="54.75" hidden="false" customHeight="true" outlineLevel="0" collapsed="false">
      <c r="A15" s="66" t="s">
        <v>1024</v>
      </c>
      <c r="B15" s="66"/>
      <c r="C15" s="66"/>
      <c r="D15" s="66"/>
      <c r="E15" s="66"/>
      <c r="F15" s="66"/>
      <c r="G15" s="66"/>
      <c r="H15" s="63" t="s">
        <v>634</v>
      </c>
      <c r="I15" s="24" t="s">
        <v>1025</v>
      </c>
      <c r="J15" s="64" t="s">
        <v>1021</v>
      </c>
      <c r="K15" s="65" t="s">
        <v>1026</v>
      </c>
    </row>
    <row r="17" customFormat="false" ht="24.75" hidden="false" customHeight="true" outlineLevel="0" collapsed="false">
      <c r="A17" s="43" t="s">
        <v>1027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</row>
    <row r="18" customFormat="false" ht="54.75" hidden="false" customHeight="true" outlineLevel="0" collapsed="false">
      <c r="A18" s="62" t="s">
        <v>1028</v>
      </c>
      <c r="B18" s="62"/>
      <c r="C18" s="62"/>
      <c r="D18" s="62"/>
      <c r="E18" s="62"/>
      <c r="F18" s="62"/>
      <c r="G18" s="62"/>
      <c r="H18" s="63" t="s">
        <v>634</v>
      </c>
      <c r="I18" s="24" t="s">
        <v>1029</v>
      </c>
      <c r="J18" s="64" t="s">
        <v>1021</v>
      </c>
      <c r="K18" s="65" t="s">
        <v>1030</v>
      </c>
    </row>
    <row r="20" customFormat="false" ht="24.75" hidden="false" customHeight="true" outlineLevel="0" collapsed="false">
      <c r="A20" s="43" t="s">
        <v>1031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customFormat="false" ht="54.75" hidden="false" customHeight="true" outlineLevel="0" collapsed="false">
      <c r="A21" s="66" t="s">
        <v>1032</v>
      </c>
      <c r="B21" s="66"/>
      <c r="C21" s="66"/>
      <c r="D21" s="66"/>
      <c r="E21" s="66"/>
      <c r="F21" s="66"/>
      <c r="G21" s="66"/>
      <c r="H21" s="63" t="s">
        <v>634</v>
      </c>
      <c r="I21" s="24" t="s">
        <v>1033</v>
      </c>
      <c r="J21" s="64" t="s">
        <v>1021</v>
      </c>
      <c r="K21" s="65" t="s">
        <v>1034</v>
      </c>
    </row>
    <row r="23" customFormat="false" ht="24.75" hidden="false" customHeight="true" outlineLevel="0" collapsed="false">
      <c r="A23" s="43" t="s">
        <v>1035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</row>
    <row r="24" customFormat="false" ht="54.75" hidden="false" customHeight="true" outlineLevel="0" collapsed="false">
      <c r="A24" s="62" t="s">
        <v>1036</v>
      </c>
      <c r="B24" s="62"/>
      <c r="C24" s="62"/>
      <c r="D24" s="62"/>
      <c r="E24" s="62"/>
      <c r="F24" s="62"/>
      <c r="G24" s="62"/>
      <c r="H24" s="63" t="s">
        <v>634</v>
      </c>
      <c r="I24" s="24" t="s">
        <v>1037</v>
      </c>
      <c r="J24" s="64" t="s">
        <v>1021</v>
      </c>
      <c r="K24" s="65" t="s">
        <v>1038</v>
      </c>
    </row>
    <row r="27" customFormat="false" ht="27.75" hidden="false" customHeight="true" outlineLevel="0" collapsed="false">
      <c r="A27" s="59" t="s">
        <v>1039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</row>
    <row r="28" customFormat="false" ht="26.85" hidden="false" customHeight="true" outlineLevel="0" collapsed="false">
      <c r="A28" s="5" t="s">
        <v>1040</v>
      </c>
      <c r="B28" s="5" t="s">
        <v>29</v>
      </c>
      <c r="C28" s="5" t="s">
        <v>1041</v>
      </c>
      <c r="D28" s="5" t="s">
        <v>1042</v>
      </c>
      <c r="E28" s="5" t="s">
        <v>1043</v>
      </c>
      <c r="F28" s="67" t="s">
        <v>1044</v>
      </c>
      <c r="G28" s="67"/>
      <c r="H28" s="67"/>
      <c r="I28" s="67"/>
      <c r="J28" s="67"/>
      <c r="K28" s="67"/>
    </row>
    <row r="29" customFormat="false" ht="54.75" hidden="false" customHeight="true" outlineLevel="0" collapsed="false">
      <c r="A29" s="68" t="s">
        <v>1045</v>
      </c>
      <c r="B29" s="16" t="s">
        <v>1046</v>
      </c>
      <c r="C29" s="63" t="s">
        <v>1047</v>
      </c>
      <c r="D29" s="63" t="s">
        <v>1048</v>
      </c>
      <c r="E29" s="16" t="s">
        <v>1049</v>
      </c>
      <c r="F29" s="69" t="s">
        <v>1050</v>
      </c>
      <c r="G29" s="69"/>
      <c r="H29" s="69"/>
      <c r="I29" s="69"/>
      <c r="J29" s="69"/>
      <c r="K29" s="69"/>
    </row>
    <row r="30" customFormat="false" ht="54.75" hidden="false" customHeight="true" outlineLevel="0" collapsed="false">
      <c r="A30" s="68" t="s">
        <v>1051</v>
      </c>
      <c r="B30" s="18" t="s">
        <v>1052</v>
      </c>
      <c r="C30" s="63" t="s">
        <v>1053</v>
      </c>
      <c r="D30" s="63" t="s">
        <v>1054</v>
      </c>
      <c r="E30" s="18" t="s">
        <v>1055</v>
      </c>
      <c r="F30" s="69" t="s">
        <v>1056</v>
      </c>
      <c r="G30" s="69"/>
      <c r="H30" s="69"/>
      <c r="I30" s="69"/>
      <c r="J30" s="69"/>
      <c r="K30" s="69"/>
    </row>
    <row r="31" customFormat="false" ht="54.75" hidden="false" customHeight="true" outlineLevel="0" collapsed="false">
      <c r="A31" s="68" t="s">
        <v>1057</v>
      </c>
      <c r="B31" s="19" t="s">
        <v>1058</v>
      </c>
      <c r="C31" s="63" t="s">
        <v>1059</v>
      </c>
      <c r="D31" s="63" t="s">
        <v>1060</v>
      </c>
      <c r="E31" s="19" t="s">
        <v>1061</v>
      </c>
      <c r="F31" s="69" t="s">
        <v>1062</v>
      </c>
      <c r="G31" s="69"/>
      <c r="H31" s="69"/>
      <c r="I31" s="69"/>
      <c r="J31" s="69"/>
      <c r="K31" s="69"/>
    </row>
    <row r="33" customFormat="false" ht="27.75" hidden="false" customHeight="true" outlineLevel="0" collapsed="false">
      <c r="A33" s="59" t="s">
        <v>1063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</row>
    <row r="34" customFormat="false" ht="26.85" hidden="false" customHeight="false" outlineLevel="0" collapsed="false">
      <c r="A34" s="5" t="s">
        <v>625</v>
      </c>
      <c r="B34" s="5" t="s">
        <v>1064</v>
      </c>
      <c r="C34" s="5" t="s">
        <v>1065</v>
      </c>
      <c r="D34" s="5" t="s">
        <v>1066</v>
      </c>
      <c r="E34" s="5" t="s">
        <v>1067</v>
      </c>
      <c r="F34" s="5" t="s">
        <v>1068</v>
      </c>
    </row>
    <row r="35" customFormat="false" ht="45" hidden="false" customHeight="true" outlineLevel="0" collapsed="false">
      <c r="A35" s="70" t="s">
        <v>1069</v>
      </c>
      <c r="B35" s="12" t="s">
        <v>1070</v>
      </c>
      <c r="C35" s="18" t="s">
        <v>1071</v>
      </c>
      <c r="D35" s="18" t="s">
        <v>1072</v>
      </c>
      <c r="E35" s="70" t="s">
        <v>1073</v>
      </c>
      <c r="F35" s="71" t="s">
        <v>1074</v>
      </c>
    </row>
    <row r="36" customFormat="false" ht="45" hidden="false" customHeight="true" outlineLevel="0" collapsed="false">
      <c r="A36" s="70" t="s">
        <v>1075</v>
      </c>
      <c r="B36" s="12" t="s">
        <v>1076</v>
      </c>
      <c r="C36" s="18" t="s">
        <v>1077</v>
      </c>
      <c r="D36" s="18" t="s">
        <v>1078</v>
      </c>
      <c r="E36" s="70" t="s">
        <v>1073</v>
      </c>
      <c r="F36" s="71" t="s">
        <v>1079</v>
      </c>
    </row>
    <row r="37" customFormat="false" ht="45" hidden="false" customHeight="true" outlineLevel="0" collapsed="false">
      <c r="A37" s="70" t="s">
        <v>1080</v>
      </c>
      <c r="B37" s="12" t="s">
        <v>1081</v>
      </c>
      <c r="C37" s="18" t="s">
        <v>1082</v>
      </c>
      <c r="D37" s="18" t="s">
        <v>1083</v>
      </c>
      <c r="E37" s="70" t="s">
        <v>1073</v>
      </c>
      <c r="F37" s="71" t="s">
        <v>1084</v>
      </c>
    </row>
    <row r="38" customFormat="false" ht="45" hidden="false" customHeight="true" outlineLevel="0" collapsed="false">
      <c r="A38" s="39" t="s">
        <v>1085</v>
      </c>
      <c r="B38" s="39" t="s">
        <v>1086</v>
      </c>
      <c r="C38" s="39" t="s">
        <v>1087</v>
      </c>
      <c r="D38" s="39" t="s">
        <v>1088</v>
      </c>
      <c r="E38" s="39" t="s">
        <v>1073</v>
      </c>
      <c r="F38" s="71" t="s">
        <v>1089</v>
      </c>
    </row>
    <row r="40" customFormat="false" ht="27.75" hidden="false" customHeight="true" outlineLevel="0" collapsed="false">
      <c r="A40" s="59" t="s">
        <v>1090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</row>
    <row r="41" customFormat="false" ht="45" hidden="false" customHeight="true" outlineLevel="0" collapsed="false">
      <c r="A41" s="22" t="s">
        <v>1091</v>
      </c>
      <c r="B41" s="52" t="s">
        <v>1092</v>
      </c>
      <c r="C41" s="52"/>
      <c r="D41" s="52"/>
      <c r="E41" s="52"/>
      <c r="F41" s="52"/>
      <c r="G41" s="52"/>
      <c r="H41" s="52"/>
      <c r="I41" s="52"/>
      <c r="J41" s="63" t="s">
        <v>1093</v>
      </c>
      <c r="K41" s="26" t="s">
        <v>1094</v>
      </c>
    </row>
    <row r="42" customFormat="false" ht="45" hidden="false" customHeight="true" outlineLevel="0" collapsed="false">
      <c r="A42" s="22" t="s">
        <v>1095</v>
      </c>
      <c r="B42" s="54" t="s">
        <v>1096</v>
      </c>
      <c r="C42" s="54"/>
      <c r="D42" s="54"/>
      <c r="E42" s="54"/>
      <c r="F42" s="54"/>
      <c r="G42" s="54"/>
      <c r="H42" s="54"/>
      <c r="I42" s="54"/>
      <c r="J42" s="63" t="s">
        <v>1093</v>
      </c>
      <c r="K42" s="26" t="s">
        <v>1097</v>
      </c>
    </row>
    <row r="43" customFormat="false" ht="45" hidden="false" customHeight="true" outlineLevel="0" collapsed="false">
      <c r="A43" s="22" t="s">
        <v>1098</v>
      </c>
      <c r="B43" s="52" t="s">
        <v>1099</v>
      </c>
      <c r="C43" s="52"/>
      <c r="D43" s="52"/>
      <c r="E43" s="52"/>
      <c r="F43" s="52"/>
      <c r="G43" s="52"/>
      <c r="H43" s="52"/>
      <c r="I43" s="52"/>
      <c r="J43" s="63" t="s">
        <v>1093</v>
      </c>
      <c r="K43" s="26" t="s">
        <v>1100</v>
      </c>
    </row>
    <row r="44" customFormat="false" ht="45" hidden="false" customHeight="true" outlineLevel="0" collapsed="false">
      <c r="A44" s="22" t="s">
        <v>1101</v>
      </c>
      <c r="B44" s="54" t="s">
        <v>1102</v>
      </c>
      <c r="C44" s="54"/>
      <c r="D44" s="54"/>
      <c r="E44" s="54"/>
      <c r="F44" s="54"/>
      <c r="G44" s="54"/>
      <c r="H44" s="54"/>
      <c r="I44" s="54"/>
      <c r="J44" s="63" t="s">
        <v>1093</v>
      </c>
      <c r="K44" s="26" t="s">
        <v>1103</v>
      </c>
    </row>
    <row r="45" customFormat="false" ht="45" hidden="false" customHeight="true" outlineLevel="0" collapsed="false">
      <c r="A45" s="22" t="s">
        <v>1104</v>
      </c>
      <c r="B45" s="52" t="s">
        <v>1105</v>
      </c>
      <c r="C45" s="52"/>
      <c r="D45" s="52"/>
      <c r="E45" s="52"/>
      <c r="F45" s="52"/>
      <c r="G45" s="52"/>
      <c r="H45" s="52"/>
      <c r="I45" s="52"/>
      <c r="J45" s="63" t="s">
        <v>1093</v>
      </c>
      <c r="K45" s="26" t="s">
        <v>587</v>
      </c>
    </row>
    <row r="47" customFormat="false" ht="30" hidden="false" customHeight="true" outlineLevel="0" collapsed="false">
      <c r="A47" s="72" t="s">
        <v>1106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</row>
  </sheetData>
  <mergeCells count="31">
    <mergeCell ref="A1:K1"/>
    <mergeCell ref="A2:K2"/>
    <mergeCell ref="A4:K4"/>
    <mergeCell ref="A5:K5"/>
    <mergeCell ref="A6:K6"/>
    <mergeCell ref="A7:K7"/>
    <mergeCell ref="A8:K8"/>
    <mergeCell ref="A10:K10"/>
    <mergeCell ref="A11:K11"/>
    <mergeCell ref="A12:G12"/>
    <mergeCell ref="A14:K14"/>
    <mergeCell ref="A15:G15"/>
    <mergeCell ref="A17:K17"/>
    <mergeCell ref="A18:G18"/>
    <mergeCell ref="A20:K20"/>
    <mergeCell ref="A21:G21"/>
    <mergeCell ref="A23:K23"/>
    <mergeCell ref="A24:G24"/>
    <mergeCell ref="A27:K27"/>
    <mergeCell ref="F28:K28"/>
    <mergeCell ref="F29:K29"/>
    <mergeCell ref="F30:K30"/>
    <mergeCell ref="F31:K31"/>
    <mergeCell ref="A33:K33"/>
    <mergeCell ref="A40:K40"/>
    <mergeCell ref="B41:I41"/>
    <mergeCell ref="B42:I42"/>
    <mergeCell ref="B43:I43"/>
    <mergeCell ref="B44:I44"/>
    <mergeCell ref="B45:I45"/>
    <mergeCell ref="A47:K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2026-03-05T22:48:24Z</dcterms:created>
  <dc:creator>openpyxl</dc:creator>
  <dc:description/>
  <dc:language>en-US</dc:language>
  <cp:lastModifiedBy/>
  <dcterms:modified xsi:type="dcterms:W3CDTF">2026-03-05T22:54:40Z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